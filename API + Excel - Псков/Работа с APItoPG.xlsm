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 activeTab="1"/>
  </bookViews>
  <sheets>
    <sheet name="Source" sheetId="14" r:id="rId1"/>
    <sheet name="Calculate" sheetId="13" r:id="rId2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3" l="1"/>
  <c r="F6" i="13" l="1"/>
  <c r="F5" i="13" l="1"/>
  <c r="G6" i="13"/>
  <c r="H6" i="13"/>
  <c r="H5" i="13" s="1"/>
  <c r="I6" i="13"/>
  <c r="J6" i="13"/>
  <c r="J5" i="13" s="1"/>
  <c r="K6" i="13"/>
  <c r="L6" i="13"/>
  <c r="L5" i="13" s="1"/>
  <c r="M6" i="13"/>
  <c r="N6" i="13"/>
  <c r="N5" i="13" s="1"/>
  <c r="O6" i="13"/>
  <c r="P6" i="13"/>
  <c r="P5" i="13" s="1"/>
  <c r="Q6" i="13"/>
  <c r="R6" i="13"/>
  <c r="R5" i="13" s="1"/>
  <c r="S6" i="13"/>
  <c r="T6" i="13"/>
  <c r="T5" i="13" s="1"/>
  <c r="U6" i="13"/>
  <c r="V6" i="13"/>
  <c r="V5" i="13" s="1"/>
  <c r="W6" i="13"/>
  <c r="X6" i="13"/>
  <c r="X5" i="13" s="1"/>
  <c r="Y6" i="13"/>
  <c r="Z6" i="13"/>
  <c r="Z5" i="13" s="1"/>
  <c r="AA6" i="13"/>
  <c r="AB6" i="13"/>
  <c r="AB5" i="13" s="1"/>
  <c r="AC6" i="13"/>
  <c r="AC5" i="13" s="1"/>
  <c r="Y5" i="13" l="1"/>
  <c r="U5" i="13"/>
  <c r="Q5" i="13"/>
  <c r="M5" i="13"/>
  <c r="I5" i="13"/>
  <c r="AA5" i="13"/>
  <c r="W5" i="13"/>
  <c r="S5" i="13"/>
  <c r="O5" i="13"/>
  <c r="K5" i="13"/>
  <c r="G5" i="13"/>
</calcChain>
</file>

<file path=xl/sharedStrings.xml><?xml version="1.0" encoding="utf-8"?>
<sst xmlns="http://schemas.openxmlformats.org/spreadsheetml/2006/main" count="22" uniqueCount="19">
  <si>
    <t>ТИ</t>
  </si>
  <si>
    <t>Подстанция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</si>
  <si>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</si>
  <si>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</si>
  <si>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</si>
  <si>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</si>
  <si>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</si>
  <si>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Название параметра</t>
  </si>
  <si>
    <t xml:space="preserve">Номер столбца: </t>
  </si>
  <si>
    <t>UID ПЛ / ТИ</t>
  </si>
  <si>
    <t>4726ccaf-6549-4739-aefd-7fe47c90deaa</t>
  </si>
  <si>
    <t>до 20 мин</t>
  </si>
  <si>
    <t>ID</t>
  </si>
  <si>
    <t>Контрольный замер по ячейке</t>
  </si>
  <si>
    <t>- заполняется вручную</t>
  </si>
  <si>
    <t>Дата запроса:=</t>
  </si>
  <si>
    <t>0:30 значения</t>
  </si>
  <si>
    <t>id Суточного графика</t>
  </si>
  <si>
    <t>Дата суточного графика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</si>
</sst>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hh:mm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5" fillId="5" borderId="0" applyNumberFormat="0" applyBorder="0" applyAlignment="0" applyProtection="0"/>
    <xf numFmtId="0" fontId="6" fillId="0" borderId="0"/>
    <xf numFmtId="0" fontId="7" fillId="0" borderId="0"/>
    <xf numFmtId="0" fontId="6" fillId="0" borderId="0"/>
  </cellStyleXfs>
  <cellXfs count="63">
    <xf numFmtId="0" fontId="0" fillId="0" borderId="0" xfId="0"/>
    <xf numFmtId="0" fontId="0" fillId="0" borderId="0" xfId="0" applyFill="1" applyBorder="1"/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5" fontId="1" fillId="0" borderId="14" xfId="0" applyNumberFormat="1" applyFont="1" applyFill="1" applyBorder="1" applyAlignment="1">
      <alignment horizontal="center"/>
    </xf>
    <xf numFmtId="0" fontId="0" fillId="2" borderId="9" xfId="0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0" fontId="1" fillId="0" borderId="5" xfId="0" applyFont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 wrapText="1"/>
    </xf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0" fontId="0" fillId="2" borderId="22" xfId="0" applyFill="1" applyBorder="1"/>
    <xf numFmtId="0" fontId="2" fillId="2" borderId="23" xfId="0" applyFont="1" applyFill="1" applyBorder="1" applyAlignment="1">
      <alignment horizontal="left" vertical="top"/>
    </xf>
    <xf numFmtId="0" fontId="0" fillId="2" borderId="24" xfId="0" applyFill="1" applyBorder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7" borderId="21" xfId="0" applyFill="1" applyBorder="1" applyAlignment="1">
      <alignment horizontal="right"/>
    </xf>
    <xf numFmtId="0" fontId="0" fillId="7" borderId="3" xfId="0" applyFill="1" applyBorder="1" applyAlignment="1">
      <alignment horizontal="left"/>
    </xf>
    <xf numFmtId="164" fontId="0" fillId="7" borderId="1" xfId="0" applyNumberFormat="1" applyFill="1" applyBorder="1"/>
    <xf numFmtId="165" fontId="1" fillId="0" borderId="26" xfId="0" applyNumberFormat="1" applyFont="1" applyFill="1" applyBorder="1" applyAlignment="1">
      <alignment horizontal="center"/>
    </xf>
    <xf numFmtId="165" fontId="1" fillId="0" borderId="26" xfId="0" applyNumberFormat="1" applyFont="1" applyBorder="1" applyAlignment="1">
      <alignment horizontal="center"/>
    </xf>
    <xf numFmtId="165" fontId="1" fillId="0" borderId="27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164" fontId="0" fillId="4" borderId="14" xfId="0" applyNumberFormat="1" applyFill="1" applyBorder="1" applyAlignment="1">
      <alignment horizontal="center" vertical="center"/>
    </xf>
    <xf numFmtId="0" fontId="0" fillId="8" borderId="21" xfId="0" applyFill="1" applyBorder="1"/>
    <xf numFmtId="0" fontId="0" fillId="8" borderId="3" xfId="0" applyFill="1" applyBorder="1"/>
    <xf numFmtId="164" fontId="0" fillId="8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8" borderId="2" xfId="0" applyNumberForma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9" borderId="2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18" xfId="0" applyFill="1" applyBorder="1" applyAlignment="1">
      <alignment horizontal="right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</cellXfs>
  <cellStyles count="6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874059</xdr:colOff>
      <xdr:row>13</xdr:row>
      <xdr:rowOff>11206</xdr:rowOff>
    </xdr:from>
    <xdr:to>
      <xdr:col>2</xdr:col>
      <xdr:colOff>2835088</xdr:colOff>
      <xdr:row>16</xdr:row>
      <xdr:rowOff>145677</xdr:rowOff>
    </xdr:to>
    <xdr:sp macro="[0]!Calculate_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910853" y="2521324"/>
          <a:ext cx="1961029" cy="705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Записать</a:t>
          </a:r>
          <a:r>
            <a:rPr lang="ru-RU" sz="1100" baseline="0"/>
            <a:t> значения в суточный график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0"/>
  <sheetViews>
    <sheetView zoomScale="90" zoomScaleNormal="90" workbookViewId="0">
      <selection activeCell="E21" sqref="E21"/>
    </sheetView>
  </sheetViews>
  <sheetFormatPr defaultRowHeight="15" x14ac:dyDescent="0.25"/>
  <cols>
    <col min="1" max="1" width="13.5703125" style="23" customWidth="1"/>
    <col min="2" max="2" width="34.140625" style="23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7" t="s">
        <v>12</v>
      </c>
      <c r="B1" s="7" t="s">
        <v>7</v>
      </c>
      <c r="C1" s="29">
        <v>0</v>
      </c>
      <c r="D1" s="30">
        <v>4.1666666666666664E-2</v>
      </c>
      <c r="E1" s="30">
        <v>8.3333333333333301E-2</v>
      </c>
      <c r="F1" s="30">
        <v>0.125</v>
      </c>
      <c r="G1" s="30">
        <v>0.16666666666666699</v>
      </c>
      <c r="H1" s="30">
        <v>0.20833333333333301</v>
      </c>
      <c r="I1" s="30">
        <v>0.25</v>
      </c>
      <c r="J1" s="30">
        <v>0.29166666666666702</v>
      </c>
      <c r="K1" s="30">
        <v>0.33333333333333298</v>
      </c>
      <c r="L1" s="30">
        <v>0.375</v>
      </c>
      <c r="M1" s="30">
        <v>0.41666666666666702</v>
      </c>
      <c r="N1" s="30">
        <v>0.45833333333333298</v>
      </c>
      <c r="O1" s="30">
        <v>0.5</v>
      </c>
      <c r="P1" s="30">
        <v>0.54166666666666696</v>
      </c>
      <c r="Q1" s="30">
        <v>0.58333333333333304</v>
      </c>
      <c r="R1" s="30">
        <v>0.625</v>
      </c>
      <c r="S1" s="30">
        <v>0.66666666666666696</v>
      </c>
      <c r="T1" s="30">
        <v>0.70833333333333304</v>
      </c>
      <c r="U1" s="30">
        <v>0.75</v>
      </c>
      <c r="V1" s="30">
        <v>0.79166666666666696</v>
      </c>
      <c r="W1" s="30">
        <v>0.83333333333333304</v>
      </c>
      <c r="X1" s="30">
        <v>0.875</v>
      </c>
      <c r="Y1" s="30">
        <v>0.91666666666666696</v>
      </c>
      <c r="Z1" s="31">
        <v>0.95833333333333304</v>
      </c>
      <c r="AA1" s="8"/>
    </row>
    <row r="2" spans="1:27" x14ac:dyDescent="0.25">
      <c r="A2" s="41">
        <v>5212213</v>
      </c>
      <c r="B2" s="41">
        <v>5212213</v>
      </c>
      <c r="C2" s="32">
        <v>76.7760009765625</v>
      </c>
      <c r="D2" s="32">
        <v>76.7760009765625</v>
      </c>
      <c r="E2" s="32">
        <v>79.517997741699205</v>
      </c>
      <c r="F2" s="32">
        <v>81.346000671386705</v>
      </c>
      <c r="G2" s="32">
        <v>77.690002441406193</v>
      </c>
      <c r="H2" s="32">
        <v>77.690002441406193</v>
      </c>
      <c r="I2" s="32">
        <v>78.603996276855398</v>
      </c>
      <c r="J2" s="32">
        <v>77.690002441406193</v>
      </c>
      <c r="K2" s="32">
        <v>76.7760009765625</v>
      </c>
      <c r="L2" s="32">
        <v>74.947998046875</v>
      </c>
      <c r="M2" s="32">
        <v>74.033996582031193</v>
      </c>
      <c r="N2" s="32">
        <v>74.033996582031193</v>
      </c>
      <c r="O2" s="32">
        <v>74.033996582031193</v>
      </c>
      <c r="P2" s="32">
        <v>74.947998046875</v>
      </c>
      <c r="Q2" s="32">
        <v>75.861999511718693</v>
      </c>
      <c r="R2" s="32">
        <v>77.690002441406193</v>
      </c>
      <c r="S2" s="32">
        <v>74.947998046875</v>
      </c>
      <c r="T2" s="32">
        <v>75.861999511718693</v>
      </c>
      <c r="U2" s="32">
        <v>74.947998046875</v>
      </c>
      <c r="V2" s="32">
        <v>73.120002746582003</v>
      </c>
      <c r="W2" s="32">
        <v>71.291999816894503</v>
      </c>
      <c r="X2" s="32">
        <v>73.120002746582003</v>
      </c>
      <c r="Y2" s="32">
        <v>73.120002746582003</v>
      </c>
      <c r="Z2" s="32">
        <v>72.206001281738196</v>
      </c>
      <c r="AA2" s="1"/>
    </row>
    <row r="3" spans="1:27" x14ac:dyDescent="0.25">
      <c r="A3" s="41"/>
      <c r="B3" s="4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1"/>
    </row>
    <row r="4" spans="1:27" x14ac:dyDescent="0.25">
      <c r="A4" s="41"/>
      <c r="B4" s="4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1"/>
    </row>
    <row r="5" spans="1:27" x14ac:dyDescent="0.25">
      <c r="A5" s="42"/>
      <c r="B5" s="4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1"/>
    </row>
    <row r="6" spans="1:27" x14ac:dyDescent="0.25">
      <c r="A6" s="41"/>
      <c r="B6" s="41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1"/>
    </row>
    <row r="7" spans="1:27" x14ac:dyDescent="0.25">
      <c r="A7" s="41"/>
      <c r="B7" s="41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1"/>
    </row>
    <row r="8" spans="1:27" x14ac:dyDescent="0.25">
      <c r="A8" s="43"/>
      <c r="B8" s="41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7" x14ac:dyDescent="0.25">
      <c r="A9" s="44"/>
      <c r="B9" s="41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24" t="s">
        <v>12</v>
      </c>
      <c r="B14" s="25" t="s">
        <v>14</v>
      </c>
    </row>
    <row r="15" spans="1:27" x14ac:dyDescent="0.25">
      <c r="A15" s="25"/>
      <c r="B15" s="25"/>
    </row>
    <row r="20" spans="1:2" x14ac:dyDescent="0.25">
      <c r="A20" s="23" t="s">
        <v>15</v>
      </c>
      <c r="B20" s="46">
        <v>46065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C19"/>
  <sheetViews>
    <sheetView tabSelected="1" zoomScale="85" zoomScaleNormal="85" workbookViewId="0">
      <selection activeCell="B19" sqref="B19"/>
    </sheetView>
  </sheetViews>
  <sheetFormatPr defaultRowHeight="15" x14ac:dyDescent="0.25"/>
  <cols>
    <col min="1" max="1" width="24.140625" customWidth="1"/>
    <col min="2" max="2" width="21.28515625" style="21" customWidth="1"/>
    <col min="3" max="3" width="52.28515625" style="21" customWidth="1"/>
    <col min="4" max="4" width="10.28515625" hidden="1" customWidth="1"/>
    <col min="5" max="5" width="39.42578125" hidden="1" customWidth="1"/>
    <col min="6" max="6" width="21" customWidth="1"/>
    <col min="7" max="29" width="8.7109375" customWidth="1"/>
  </cols>
  <sheetData>
    <row r="1" spans="1:29" ht="30" x14ac:dyDescent="0.25">
      <c r="A1" s="15" t="s">
        <v>1</v>
      </c>
      <c r="B1" s="34"/>
      <c r="C1" s="34" t="s">
        <v>3</v>
      </c>
      <c r="D1" s="16" t="s">
        <v>4</v>
      </c>
      <c r="E1" s="16" t="s">
        <v>9</v>
      </c>
      <c r="F1" s="57" t="s">
        <v>2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9"/>
    </row>
    <row r="2" spans="1:29" x14ac:dyDescent="0.25">
      <c r="A2" s="17"/>
      <c r="B2" s="36"/>
      <c r="C2" s="36"/>
      <c r="D2" s="18"/>
      <c r="E2" s="18"/>
      <c r="F2" s="60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</row>
    <row r="3" spans="1:29" ht="15.75" thickBot="1" x14ac:dyDescent="0.3">
      <c r="A3" s="19"/>
      <c r="B3" s="48" t="s">
        <v>17</v>
      </c>
      <c r="C3" s="35"/>
      <c r="D3" s="20"/>
      <c r="E3" s="20"/>
      <c r="F3" s="4">
        <v>0</v>
      </c>
      <c r="G3" s="2">
        <v>4.1666666666666664E-2</v>
      </c>
      <c r="H3" s="2">
        <v>8.3333333333333301E-2</v>
      </c>
      <c r="I3" s="2">
        <v>0.125</v>
      </c>
      <c r="J3" s="2">
        <v>0.16666666666666699</v>
      </c>
      <c r="K3" s="2">
        <v>0.20833333333333301</v>
      </c>
      <c r="L3" s="2">
        <v>0.25</v>
      </c>
      <c r="M3" s="2">
        <v>0.29166666666666702</v>
      </c>
      <c r="N3" s="2">
        <v>0.33333333333333298</v>
      </c>
      <c r="O3" s="2">
        <v>0.375</v>
      </c>
      <c r="P3" s="2">
        <v>0.41666666666666702</v>
      </c>
      <c r="Q3" s="2">
        <v>0.45833333333333298</v>
      </c>
      <c r="R3" s="2">
        <v>0.5</v>
      </c>
      <c r="S3" s="2">
        <v>0.54166666666666696</v>
      </c>
      <c r="T3" s="2">
        <v>0.58333333333333304</v>
      </c>
      <c r="U3" s="2">
        <v>0.625</v>
      </c>
      <c r="V3" s="2">
        <v>0.66666666666666696</v>
      </c>
      <c r="W3" s="2">
        <v>0.70833333333333304</v>
      </c>
      <c r="X3" s="2">
        <v>0.75</v>
      </c>
      <c r="Y3" s="2">
        <v>0.79166666666666696</v>
      </c>
      <c r="Z3" s="2">
        <v>0.83333333333333304</v>
      </c>
      <c r="AA3" s="2">
        <v>0.875</v>
      </c>
      <c r="AB3" s="2">
        <v>0.91666666666666696</v>
      </c>
      <c r="AC3" s="3">
        <v>0.95833333333333304</v>
      </c>
    </row>
    <row r="4" spans="1:29" ht="15.75" hidden="1" thickBot="1" x14ac:dyDescent="0.3">
      <c r="A4" s="54" t="s">
        <v>8</v>
      </c>
      <c r="B4" s="55"/>
      <c r="C4" s="55"/>
      <c r="D4" s="55"/>
      <c r="E4" s="56"/>
      <c r="F4" s="9">
        <v>3</v>
      </c>
      <c r="G4" s="10">
        <v>4</v>
      </c>
      <c r="H4" s="9">
        <v>5</v>
      </c>
      <c r="I4" s="10">
        <v>6</v>
      </c>
      <c r="J4" s="9">
        <v>7</v>
      </c>
      <c r="K4" s="10">
        <v>8</v>
      </c>
      <c r="L4" s="9">
        <v>9</v>
      </c>
      <c r="M4" s="10">
        <v>10</v>
      </c>
      <c r="N4" s="9">
        <v>11</v>
      </c>
      <c r="O4" s="10">
        <v>12</v>
      </c>
      <c r="P4" s="9">
        <v>13</v>
      </c>
      <c r="Q4" s="10">
        <v>14</v>
      </c>
      <c r="R4" s="9">
        <v>15</v>
      </c>
      <c r="S4" s="10">
        <v>16</v>
      </c>
      <c r="T4" s="9">
        <v>17</v>
      </c>
      <c r="U4" s="10">
        <v>18</v>
      </c>
      <c r="V4" s="9">
        <v>19</v>
      </c>
      <c r="W4" s="10">
        <v>20</v>
      </c>
      <c r="X4" s="9">
        <v>21</v>
      </c>
      <c r="Y4" s="10">
        <v>22</v>
      </c>
      <c r="Z4" s="9">
        <v>23</v>
      </c>
      <c r="AA4" s="10">
        <v>24</v>
      </c>
      <c r="AB4" s="9">
        <v>25</v>
      </c>
      <c r="AC4" s="10">
        <v>26</v>
      </c>
    </row>
    <row r="5" spans="1:29" x14ac:dyDescent="0.25">
      <c r="A5" s="5"/>
      <c r="B5" s="50">
        <v>2000347</v>
      </c>
      <c r="C5" s="47" t="s">
        <v>16</v>
      </c>
      <c r="D5" s="38"/>
      <c r="E5" s="39"/>
      <c r="F5" s="40">
        <f t="shared" ref="F5:AB5" si="0">F6+((G6-F6)/2)</f>
        <v>76.7760009765625</v>
      </c>
      <c r="G5" s="40">
        <f t="shared" si="0"/>
        <v>78.146999359130859</v>
      </c>
      <c r="H5" s="40">
        <f t="shared" si="0"/>
        <v>80.431999206542955</v>
      </c>
      <c r="I5" s="40">
        <f t="shared" si="0"/>
        <v>79.518001556396456</v>
      </c>
      <c r="J5" s="40">
        <f t="shared" si="0"/>
        <v>77.690002441406193</v>
      </c>
      <c r="K5" s="40">
        <f t="shared" si="0"/>
        <v>78.146999359130803</v>
      </c>
      <c r="L5" s="40">
        <f t="shared" si="0"/>
        <v>78.146999359130803</v>
      </c>
      <c r="M5" s="40">
        <f t="shared" si="0"/>
        <v>77.233001708984347</v>
      </c>
      <c r="N5" s="40">
        <f t="shared" si="0"/>
        <v>75.86199951171875</v>
      </c>
      <c r="O5" s="40">
        <f t="shared" si="0"/>
        <v>74.490997314453097</v>
      </c>
      <c r="P5" s="40">
        <f t="shared" si="0"/>
        <v>74.033996582031193</v>
      </c>
      <c r="Q5" s="40">
        <f t="shared" si="0"/>
        <v>74.033996582031193</v>
      </c>
      <c r="R5" s="40">
        <f t="shared" si="0"/>
        <v>74.490997314453097</v>
      </c>
      <c r="S5" s="40">
        <f t="shared" si="0"/>
        <v>75.404998779296847</v>
      </c>
      <c r="T5" s="40">
        <f t="shared" si="0"/>
        <v>76.776000976562443</v>
      </c>
      <c r="U5" s="40">
        <f t="shared" si="0"/>
        <v>76.319000244140597</v>
      </c>
      <c r="V5" s="40">
        <f t="shared" si="0"/>
        <v>75.404998779296847</v>
      </c>
      <c r="W5" s="40">
        <f t="shared" si="0"/>
        <v>75.404998779296847</v>
      </c>
      <c r="X5" s="40">
        <f t="shared" si="0"/>
        <v>74.034000396728501</v>
      </c>
      <c r="Y5" s="40">
        <f t="shared" si="0"/>
        <v>72.206001281738253</v>
      </c>
      <c r="Z5" s="40">
        <f t="shared" si="0"/>
        <v>72.206001281738253</v>
      </c>
      <c r="AA5" s="40">
        <f t="shared" si="0"/>
        <v>73.120002746582003</v>
      </c>
      <c r="AB5" s="40">
        <f t="shared" si="0"/>
        <v>72.663002014160099</v>
      </c>
      <c r="AC5" s="40">
        <f>AC6+((F6-AC6)/2)</f>
        <v>74.491001129150348</v>
      </c>
    </row>
    <row r="6" spans="1:29" x14ac:dyDescent="0.25">
      <c r="A6" s="12" t="s">
        <v>6</v>
      </c>
      <c r="B6" s="49"/>
      <c r="C6" s="45">
        <f>Source!B2</f>
        <v>5212213</v>
      </c>
      <c r="D6" s="26" t="s">
        <v>0</v>
      </c>
      <c r="E6" s="27" t="s">
        <v>10</v>
      </c>
      <c r="F6" s="28">
        <f>Source!C$2</f>
        <v>76.7760009765625</v>
      </c>
      <c r="G6" s="28">
        <f>Source!D$2</f>
        <v>76.7760009765625</v>
      </c>
      <c r="H6" s="28">
        <f>Source!E$2</f>
        <v>79.517997741699205</v>
      </c>
      <c r="I6" s="28">
        <f>Source!F$2</f>
        <v>81.346000671386705</v>
      </c>
      <c r="J6" s="28">
        <f>Source!G$2</f>
        <v>77.690002441406193</v>
      </c>
      <c r="K6" s="28">
        <f>Source!H$2</f>
        <v>77.690002441406193</v>
      </c>
      <c r="L6" s="28">
        <f>Source!I$2</f>
        <v>78.603996276855398</v>
      </c>
      <c r="M6" s="28">
        <f>Source!J$2</f>
        <v>77.690002441406193</v>
      </c>
      <c r="N6" s="28">
        <f>Source!K$2</f>
        <v>76.7760009765625</v>
      </c>
      <c r="O6" s="28">
        <f>Source!L$2</f>
        <v>74.947998046875</v>
      </c>
      <c r="P6" s="28">
        <f>Source!M$2</f>
        <v>74.033996582031193</v>
      </c>
      <c r="Q6" s="28">
        <f>Source!N$2</f>
        <v>74.033996582031193</v>
      </c>
      <c r="R6" s="28">
        <f>Source!O$2</f>
        <v>74.033996582031193</v>
      </c>
      <c r="S6" s="28">
        <f>Source!P$2</f>
        <v>74.947998046875</v>
      </c>
      <c r="T6" s="28">
        <f>Source!Q$2</f>
        <v>75.861999511718693</v>
      </c>
      <c r="U6" s="28">
        <f>Source!R$2</f>
        <v>77.690002441406193</v>
      </c>
      <c r="V6" s="28">
        <f>Source!S$2</f>
        <v>74.947998046875</v>
      </c>
      <c r="W6" s="28">
        <f>Source!T$2</f>
        <v>75.861999511718693</v>
      </c>
      <c r="X6" s="28">
        <f>Source!U$2</f>
        <v>74.947998046875</v>
      </c>
      <c r="Y6" s="28">
        <f>Source!V$2</f>
        <v>73.120002746582003</v>
      </c>
      <c r="Z6" s="28">
        <f>Source!W$2</f>
        <v>71.291999816894503</v>
      </c>
      <c r="AA6" s="28">
        <f>Source!X$2</f>
        <v>73.120002746582003</v>
      </c>
      <c r="AB6" s="28">
        <f>Source!Y$2</f>
        <v>73.120002746582003</v>
      </c>
      <c r="AC6" s="28">
        <f>Source!Z$2</f>
        <v>72.206001281738196</v>
      </c>
    </row>
    <row r="7" spans="1:29" x14ac:dyDescent="0.25">
      <c r="A7" s="12"/>
      <c r="B7" s="49"/>
      <c r="C7" s="45"/>
      <c r="D7" s="26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25">
      <c r="A8" s="12"/>
      <c r="B8" s="49"/>
      <c r="C8" s="45"/>
      <c r="D8" s="26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25">
      <c r="A9" s="12"/>
      <c r="B9" s="49"/>
      <c r="C9" s="45"/>
      <c r="D9" s="26"/>
      <c r="E9" s="27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ht="15.75" thickBot="1" x14ac:dyDescent="0.3">
      <c r="A10" s="6" t="s">
        <v>11</v>
      </c>
      <c r="B10" s="51"/>
      <c r="C10" s="37" t="s">
        <v>13</v>
      </c>
      <c r="D10" s="13" t="s">
        <v>5</v>
      </c>
      <c r="E10" s="14"/>
      <c r="F10" s="11">
        <v>13.286587171366712</v>
      </c>
      <c r="G10" s="11">
        <v>13.731104847543127</v>
      </c>
      <c r="H10" s="11">
        <v>13.940830011731508</v>
      </c>
      <c r="I10" s="11">
        <v>13.738218691978958</v>
      </c>
      <c r="J10" s="11">
        <v>13.637928931862845</v>
      </c>
      <c r="K10" s="11">
        <v>13.48678222828118</v>
      </c>
      <c r="L10" s="11">
        <v>13.326945126049413</v>
      </c>
      <c r="M10" s="11">
        <v>12.784555819745743</v>
      </c>
      <c r="N10" s="11">
        <v>12.722209958106975</v>
      </c>
      <c r="O10" s="11">
        <v>12.737877729445675</v>
      </c>
      <c r="P10" s="11">
        <v>12.38848425590813</v>
      </c>
      <c r="Q10" s="11">
        <v>13.010630774527012</v>
      </c>
      <c r="R10" s="11">
        <v>13.04858791280073</v>
      </c>
      <c r="S10" s="11">
        <v>13.061936003918481</v>
      </c>
      <c r="T10" s="11">
        <v>13.047335903338583</v>
      </c>
      <c r="U10" s="11">
        <v>12.920437207850254</v>
      </c>
      <c r="V10" s="11">
        <v>13.055710583767477</v>
      </c>
      <c r="W10" s="11">
        <v>13.014982933232208</v>
      </c>
      <c r="X10" s="11">
        <v>12.864782535609253</v>
      </c>
      <c r="Y10" s="11">
        <v>12.737276506897555</v>
      </c>
      <c r="Z10" s="11">
        <v>12.981793479580618</v>
      </c>
      <c r="AA10" s="11">
        <v>13.703211312440763</v>
      </c>
      <c r="AB10" s="11">
        <v>13.187976149534311</v>
      </c>
      <c r="AC10" s="11">
        <v>12.766631615753376</v>
      </c>
    </row>
    <row r="12" spans="1:29" ht="15.75" thickBot="1" x14ac:dyDescent="0.3">
      <c r="A12" s="52"/>
      <c r="B12" s="51"/>
      <c r="C12" s="37" t="s">
        <v>13</v>
      </c>
      <c r="F12" s="22" t="s">
        <v>14</v>
      </c>
    </row>
    <row r="19" spans="1:2" x14ac:dyDescent="0.25">
      <c r="A19" t="s">
        <v>18</v>
      </c>
      <c r="B19" s="53">
        <v>46127</v>
      </c>
    </row>
  </sheetData>
  <mergeCells count="2">
    <mergeCell ref="A4:E4"/>
    <mergeCell ref="F1:AC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Source</vt:lpstr>
      <vt:lpstr>Calculate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2026-04-11T16:06:57Z</dcterms:modified>
</cp:coreProperties>
</file>