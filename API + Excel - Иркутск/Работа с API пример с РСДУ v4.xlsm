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-120" yWindow="-120" windowWidth="29040" windowHeight="15840" activeTab="2"/>
  </bookViews>
  <sheets>
    <sheet name="Source" sheetId="14" r:id="rId1"/>
    <sheet name="Calculate" sheetId="13" r:id="rId2"/>
    <sheet name="Result" sheetId="15" r:id="rId3"/>
  </sheets>
  <functionGroups builtInGroupCount="17"/>
  <definedNames>
    <definedName name="время_отключения">#REF!</definedName>
    <definedName name="пннпнпнпнггпн">#REF!</definedName>
    <definedName name="САОН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13" l="1"/>
  <c r="B9" i="13"/>
  <c r="B10" i="13"/>
  <c r="B7" i="13"/>
  <c r="E7" i="13" l="1"/>
  <c r="F7" i="13" l="1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S8" i="13"/>
  <c r="T8" i="13"/>
  <c r="U8" i="13"/>
  <c r="V8" i="13"/>
  <c r="W8" i="13"/>
  <c r="X8" i="13"/>
  <c r="Y8" i="13"/>
  <c r="Z8" i="13"/>
  <c r="AA8" i="13"/>
  <c r="AB8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E10" i="13"/>
  <c r="E9" i="13"/>
  <c r="E8" i="13"/>
  <c r="U6" i="13" l="1"/>
  <c r="U5" i="13" s="1"/>
  <c r="M6" i="13"/>
  <c r="M5" i="13" s="1"/>
  <c r="N6" i="13"/>
  <c r="N5" i="13" s="1"/>
  <c r="V6" i="13"/>
  <c r="V5" i="13" s="1"/>
  <c r="T6" i="13"/>
  <c r="T5" i="13" s="1"/>
  <c r="S6" i="13"/>
  <c r="S5" i="13" s="1"/>
  <c r="G6" i="13"/>
  <c r="G5" i="13" s="1"/>
  <c r="F6" i="13"/>
  <c r="F5" i="13" s="1"/>
  <c r="E6" i="13"/>
  <c r="J6" i="13"/>
  <c r="J5" i="13" s="1"/>
  <c r="I6" i="13"/>
  <c r="I5" i="13" s="1"/>
  <c r="H6" i="13"/>
  <c r="H5" i="13" s="1"/>
  <c r="R6" i="13"/>
  <c r="R5" i="13" s="1"/>
  <c r="Q6" i="13"/>
  <c r="Q5" i="13" s="1"/>
  <c r="P6" i="13"/>
  <c r="P5" i="13" s="1"/>
  <c r="AB6" i="13"/>
  <c r="AB5" i="13" s="1"/>
  <c r="AA6" i="13"/>
  <c r="AA5" i="13" s="1"/>
  <c r="O6" i="13"/>
  <c r="O5" i="13" s="1"/>
  <c r="Z6" i="13"/>
  <c r="Z5" i="13" s="1"/>
  <c r="Y6" i="13"/>
  <c r="Y5" i="13" s="1"/>
  <c r="X6" i="13"/>
  <c r="X5" i="13" s="1"/>
  <c r="L6" i="13"/>
  <c r="L5" i="13" s="1"/>
  <c r="W6" i="13"/>
  <c r="W5" i="13" s="1"/>
  <c r="K6" i="13"/>
  <c r="K5" i="13" s="1"/>
  <c r="E5" i="13" l="1"/>
  <c r="C3" i="15" s="1"/>
  <c r="F3" i="15"/>
  <c r="M3" i="15"/>
  <c r="O3" i="15" l="1"/>
  <c r="H3" i="15"/>
  <c r="G3" i="15"/>
  <c r="X3" i="15"/>
  <c r="P3" i="15"/>
  <c r="Y3" i="15"/>
  <c r="L3" i="15"/>
  <c r="V3" i="15"/>
  <c r="D3" i="15"/>
  <c r="K3" i="15"/>
  <c r="W3" i="15"/>
  <c r="U3" i="15"/>
  <c r="J3" i="15"/>
  <c r="Q3" i="15"/>
  <c r="S3" i="15"/>
  <c r="N3" i="15"/>
  <c r="E3" i="15"/>
  <c r="I3" i="15"/>
  <c r="T3" i="15"/>
  <c r="R3" i="15"/>
  <c r="Z3" i="15"/>
</calcChain>
</file>

<file path=xl/sharedStrings.xml><?xml version="1.0" encoding="utf-8"?>
<sst xmlns="http://schemas.openxmlformats.org/spreadsheetml/2006/main" count="61" uniqueCount="53">
  <si>
    <t>ТИ</t>
  </si>
  <si>
    <t>Подстанция</t>
  </si>
  <si>
    <t>ПЛ</t>
  </si>
  <si>
    <t>Нагрузка по присоединениям (время мск.), МВт</t>
  </si>
  <si>
    <t>Наименование
ПЛ / ТИ / присоединения</t>
  </si>
  <si>
    <t>Параметр</t>
  </si>
  <si>
    <t>внеоч. замер</t>
  </si>
  <si>
    <t>Границы района</t>
  </si>
  <si>
    <t>UID</t>
  </si>
  <si>
    <t>Название параметра</t>
  </si>
  <si>
    <t>- заполняется технологом вручную</t>
  </si>
  <si>
    <t>- по нажанию кнопки значения загружаются в плановые параметры СК-11 с указанным UID</t>
  </si>
  <si>
    <t>- область автозаполнения данными из СК-11 (по нажанию кнопки)</t>
  </si>
  <si>
    <t xml:space="preserve">Номер столбца: </t>
  </si>
  <si>
    <t>UID ПЛ / ТИ</t>
  </si>
  <si>
    <t>00:00</t>
  </si>
  <si>
    <t>01:00</t>
  </si>
  <si>
    <t>02:00</t>
  </si>
  <si>
    <t>03:00</t>
  </si>
  <si>
    <t>04:00</t>
  </si>
  <si>
    <t>05:00</t>
  </si>
  <si>
    <t>06:00</t>
  </si>
  <si>
    <t>07:00</t>
  </si>
  <si>
    <t>08:00</t>
  </si>
  <si>
    <t>09:00</t>
  </si>
  <si>
    <t>10:00</t>
  </si>
  <si>
    <t>11:00</t>
  </si>
  <si>
    <t>12:00</t>
  </si>
  <si>
    <t>13:00</t>
  </si>
  <si>
    <t>14:00</t>
  </si>
  <si>
    <t>15:00</t>
  </si>
  <si>
    <t>16:00</t>
  </si>
  <si>
    <t>17:00</t>
  </si>
  <si>
    <t>18:00</t>
  </si>
  <si>
    <t>19:00</t>
  </si>
  <si>
    <t>20:00</t>
  </si>
  <si>
    <t>21:00</t>
  </si>
  <si>
    <t>22:00</t>
  </si>
  <si>
    <t>23:00</t>
  </si>
  <si>
    <t>4726ccaf-6549-4739-aefd-7fe47c90deaa</t>
  </si>
  <si>
    <t>9ad006ca-57b0-42a9-b785-05431750b997</t>
  </si>
  <si>
    <t>cb7ea9fb-d27d-4244-a688-bd4def5319c8</t>
  </si>
  <si>
    <t>63e27f66-b016-4f41-ab98-4d582bff0b17</t>
  </si>
  <si>
    <t>до 20 мин</t>
  </si>
  <si>
    <t>ПС 110 кВ Качуг</t>
  </si>
  <si>
    <t>2FB97A92-E019-4CFA-B8F9-61714BC1C4E7</t>
  </si>
  <si>
    <t>Факт Коэф-т ГВО НТИ 20 мин. ПС 110 кВ Качуг [РВ Коэффициент доли потребления ПС 110 кВ Качуг]</t>
  </si>
  <si>
    <t>Д_Pэр ПС 110кВ Качуг</t>
  </si>
  <si>
    <t>ID</t>
  </si>
  <si>
    <t>Д_Pэр ПС 110кВ Качуг (Архив РСДУ5)</t>
  </si>
  <si>
    <t>Долеой коэффициент по ячейке</t>
  </si>
  <si>
    <t>Контрольный замер по ячейке</t>
  </si>
  <si>
    <t>- заполняется вручную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</si>
</sst>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hh:mm"/>
    <numFmt numFmtId="166" formatCode="0.0000"/>
  </numFmts>
  <fonts count="9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0"/>
      <color indexed="8"/>
      <name val="Arial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31"/>
      </patternFill>
    </fill>
    <fill>
      <patternFill patternType="solid">
        <fgColor rgb="FFF8C9AB"/>
        <bgColor rgb="FF000000"/>
      </patternFill>
    </fill>
    <fill>
      <patternFill patternType="solid">
        <fgColor rgb="FFC6E0B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4" fillId="0" borderId="0"/>
    <xf numFmtId="0" fontId="5" fillId="6" borderId="0" applyNumberFormat="0" applyBorder="0" applyAlignment="0" applyProtection="0"/>
    <xf numFmtId="0" fontId="6" fillId="0" borderId="0"/>
    <xf numFmtId="0" fontId="7" fillId="0" borderId="0"/>
    <xf numFmtId="0" fontId="8" fillId="0" borderId="0" applyNumberFormat="0" applyFont="0" applyBorder="0" applyAlignment="0"/>
    <xf numFmtId="0" fontId="6" fillId="0" borderId="0"/>
  </cellStyleXfs>
  <cellXfs count="70">
    <xf numFmtId="0" fontId="0" fillId="0" borderId="0" xfId="0"/>
    <xf numFmtId="0" fontId="0" fillId="0" borderId="0" xfId="0" applyFill="1" applyBorder="1"/>
    <xf numFmtId="0" fontId="0" fillId="2" borderId="13" xfId="0" applyFill="1" applyBorder="1" applyAlignment="1">
      <alignment horizontal="right"/>
    </xf>
    <xf numFmtId="0" fontId="0" fillId="2" borderId="17" xfId="0" applyFill="1" applyBorder="1" applyAlignment="1">
      <alignment horizontal="left"/>
    </xf>
    <xf numFmtId="165" fontId="1" fillId="0" borderId="14" xfId="0" applyNumberFormat="1" applyFont="1" applyBorder="1" applyAlignment="1">
      <alignment horizontal="center"/>
    </xf>
    <xf numFmtId="165" fontId="1" fillId="0" borderId="16" xfId="0" applyNumberFormat="1" applyFont="1" applyBorder="1" applyAlignment="1">
      <alignment horizontal="center"/>
    </xf>
    <xf numFmtId="164" fontId="0" fillId="2" borderId="8" xfId="0" applyNumberFormat="1" applyFill="1" applyBorder="1"/>
    <xf numFmtId="165" fontId="1" fillId="0" borderId="14" xfId="0" applyNumberFormat="1" applyFont="1" applyFill="1" applyBorder="1" applyAlignment="1">
      <alignment horizontal="center"/>
    </xf>
    <xf numFmtId="0" fontId="0" fillId="2" borderId="7" xfId="0" applyFill="1" applyBorder="1"/>
    <xf numFmtId="0" fontId="0" fillId="2" borderId="9" xfId="0" applyFill="1" applyBorder="1" applyAlignment="1">
      <alignment horizontal="right"/>
    </xf>
    <xf numFmtId="0" fontId="0" fillId="2" borderId="18" xfId="0" applyFill="1" applyBorder="1" applyAlignment="1">
      <alignment horizontal="right"/>
    </xf>
    <xf numFmtId="49" fontId="1" fillId="0" borderId="5" xfId="0" applyNumberFormat="1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49" fontId="1" fillId="0" borderId="0" xfId="0" applyNumberFormat="1" applyFont="1" applyFill="1" applyBorder="1" applyAlignment="1">
      <alignment horizontal="center" vertical="center" wrapText="1"/>
    </xf>
    <xf numFmtId="0" fontId="0" fillId="4" borderId="5" xfId="0" applyFill="1" applyBorder="1"/>
    <xf numFmtId="0" fontId="0" fillId="5" borderId="0" xfId="0" applyFill="1"/>
    <xf numFmtId="0" fontId="1" fillId="0" borderId="6" xfId="0" applyNumberFormat="1" applyFont="1" applyFill="1" applyBorder="1" applyAlignment="1">
      <alignment horizontal="center"/>
    </xf>
    <xf numFmtId="0" fontId="1" fillId="0" borderId="6" xfId="0" applyNumberFormat="1" applyFont="1" applyBorder="1" applyAlignment="1">
      <alignment horizontal="center"/>
    </xf>
    <xf numFmtId="164" fontId="0" fillId="4" borderId="14" xfId="0" applyNumberFormat="1" applyFill="1" applyBorder="1"/>
    <xf numFmtId="166" fontId="0" fillId="5" borderId="5" xfId="0" applyNumberFormat="1" applyFill="1" applyBorder="1" applyAlignment="1">
      <alignment horizontal="center" vertical="center"/>
    </xf>
    <xf numFmtId="0" fontId="0" fillId="2" borderId="23" xfId="0" applyFill="1" applyBorder="1"/>
    <xf numFmtId="0" fontId="2" fillId="2" borderId="24" xfId="0" applyFont="1" applyFill="1" applyBorder="1" applyAlignment="1">
      <alignment horizontal="left" vertical="top"/>
    </xf>
    <xf numFmtId="0" fontId="0" fillId="2" borderId="25" xfId="0" applyFill="1" applyBorder="1"/>
    <xf numFmtId="0" fontId="0" fillId="8" borderId="0" xfId="0" applyFill="1"/>
    <xf numFmtId="0" fontId="8" fillId="8" borderId="27" xfId="5" applyNumberFormat="1" applyFont="1" applyFill="1" applyBorder="1" applyAlignment="1"/>
    <xf numFmtId="0" fontId="1" fillId="0" borderId="7" xfId="0" applyFont="1" applyFill="1" applyBorder="1" applyAlignment="1">
      <alignment horizontal="center" vertical="top" wrapText="1"/>
    </xf>
    <xf numFmtId="0" fontId="1" fillId="0" borderId="8" xfId="0" applyFont="1" applyFill="1" applyBorder="1" applyAlignment="1">
      <alignment horizontal="center" vertical="top" wrapText="1"/>
    </xf>
    <xf numFmtId="0" fontId="1" fillId="0" borderId="9" xfId="0" applyFont="1" applyFill="1" applyBorder="1" applyAlignment="1">
      <alignment horizontal="center" vertical="top" wrapText="1"/>
    </xf>
    <xf numFmtId="0" fontId="1" fillId="0" borderId="6" xfId="0" applyFont="1" applyFill="1" applyBorder="1" applyAlignment="1">
      <alignment horizontal="center" vertical="top" wrapText="1"/>
    </xf>
    <xf numFmtId="0" fontId="0" fillId="0" borderId="10" xfId="0" applyFill="1" applyBorder="1"/>
    <xf numFmtId="0" fontId="0" fillId="0" borderId="11" xfId="0" applyFill="1" applyBorder="1"/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9" borderId="22" xfId="0" applyFill="1" applyBorder="1" applyAlignment="1">
      <alignment horizontal="right"/>
    </xf>
    <xf numFmtId="0" fontId="0" fillId="9" borderId="3" xfId="0" applyFill="1" applyBorder="1" applyAlignment="1">
      <alignment horizontal="left"/>
    </xf>
    <xf numFmtId="164" fontId="0" fillId="9" borderId="1" xfId="0" applyNumberFormat="1" applyFill="1" applyBorder="1"/>
    <xf numFmtId="165" fontId="1" fillId="0" borderId="28" xfId="0" applyNumberFormat="1" applyFont="1" applyFill="1" applyBorder="1" applyAlignment="1">
      <alignment horizontal="center"/>
    </xf>
    <xf numFmtId="165" fontId="1" fillId="0" borderId="28" xfId="0" applyNumberFormat="1" applyFont="1" applyBorder="1" applyAlignment="1">
      <alignment horizontal="center"/>
    </xf>
    <xf numFmtId="165" fontId="1" fillId="0" borderId="29" xfId="0" applyNumberFormat="1" applyFont="1" applyBorder="1" applyAlignment="1">
      <alignment horizontal="center"/>
    </xf>
    <xf numFmtId="2" fontId="3" fillId="3" borderId="5" xfId="0" applyNumberFormat="1" applyFont="1" applyFill="1" applyBorder="1" applyAlignment="1">
      <alignment horizontal="center" vertical="center" readingOrder="1"/>
    </xf>
    <xf numFmtId="0" fontId="3" fillId="3" borderId="5" xfId="0" applyNumberFormat="1" applyFont="1" applyFill="1" applyBorder="1" applyAlignment="1">
      <alignment horizontal="center" vertical="center" readingOrder="1"/>
    </xf>
    <xf numFmtId="0" fontId="1" fillId="0" borderId="8" xfId="0" applyFont="1" applyFill="1" applyBorder="1" applyAlignment="1">
      <alignment horizontal="center" vertical="center" wrapText="1"/>
    </xf>
    <xf numFmtId="0" fontId="0" fillId="0" borderId="11" xfId="0" applyFill="1" applyBorder="1" applyAlignment="1">
      <alignment vertical="center"/>
    </xf>
    <xf numFmtId="0" fontId="1" fillId="0" borderId="6" xfId="0" applyFont="1" applyFill="1" applyBorder="1" applyAlignment="1">
      <alignment vertical="center" wrapText="1"/>
    </xf>
    <xf numFmtId="0" fontId="0" fillId="2" borderId="15" xfId="0" applyFill="1" applyBorder="1" applyAlignment="1">
      <alignment horizontal="center" vertical="center"/>
    </xf>
    <xf numFmtId="164" fontId="0" fillId="4" borderId="14" xfId="0" applyNumberFormat="1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22" xfId="0" applyFill="1" applyBorder="1"/>
    <xf numFmtId="0" fontId="0" fillId="10" borderId="3" xfId="0" applyFill="1" applyBorder="1"/>
    <xf numFmtId="164" fontId="0" fillId="10" borderId="5" xfId="0" applyNumberFormat="1" applyFill="1" applyBorder="1"/>
    <xf numFmtId="0" fontId="1" fillId="4" borderId="5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 wrapText="1"/>
    </xf>
    <xf numFmtId="0" fontId="1" fillId="7" borderId="26" xfId="0" applyFont="1" applyFill="1" applyBorder="1" applyAlignment="1">
      <alignment horizontal="center" vertical="center"/>
    </xf>
    <xf numFmtId="0" fontId="1" fillId="7" borderId="26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0" fillId="11" borderId="0" xfId="0" applyFill="1" applyAlignment="1">
      <alignment horizontal="center"/>
    </xf>
    <xf numFmtId="0" fontId="0" fillId="0" borderId="19" xfId="0" applyFill="1" applyBorder="1" applyAlignment="1">
      <alignment horizontal="right" vertical="center"/>
    </xf>
    <xf numFmtId="0" fontId="0" fillId="0" borderId="20" xfId="0" applyFill="1" applyBorder="1" applyAlignment="1">
      <alignment horizontal="right" vertical="center"/>
    </xf>
    <xf numFmtId="0" fontId="0" fillId="0" borderId="21" xfId="0" applyFill="1" applyBorder="1" applyAlignment="1">
      <alignment horizontal="right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1" xfId="0" applyFont="1" applyFill="1" applyBorder="1" applyAlignment="1">
      <alignment horizontal="center" vertical="center"/>
    </xf>
  </cellXfs>
  <cellStyles count="7">
    <cellStyle name="20% - Акцент1 2" xfId="2"/>
    <cellStyle name="Обычный" xfId="0" builtinId="0"/>
    <cellStyle name="Обычный 10 17 2" xfId="4"/>
    <cellStyle name="Обычный 11" xfId="3"/>
    <cellStyle name="Обычный 2" xfId="1"/>
    <cellStyle name="Обычный 20" xfId="6"/>
    <cellStyle name="Обычный_Result" xfId="5"/>
  </cellStyles>
  <dxfs count="0"/>
  <tableStyles count="0" defaultTableStyle="TableStyleMedium2" defaultPivotStyle="PivotStyleLight16"/>
  <colors>
    <mruColors>
      <color rgb="FFC6E0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91109</xdr:colOff>
      <xdr:row>15</xdr:row>
      <xdr:rowOff>74543</xdr:rowOff>
    </xdr:from>
    <xdr:to>
      <xdr:col>1</xdr:col>
      <xdr:colOff>2136913</xdr:colOff>
      <xdr:row>17</xdr:row>
      <xdr:rowOff>124238</xdr:rowOff>
    </xdr:to>
    <xdr:sp macro="[0]!Скругленныйпрямоугольник1_Щелчок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993913" y="2932043"/>
          <a:ext cx="2045804" cy="43069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Заполнить</a:t>
          </a:r>
          <a:r>
            <a:rPr lang="ru-RU" sz="1100" baseline="0"/>
            <a:t> из РСДУ5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4269441</xdr:colOff>
      <xdr:row>18</xdr:row>
      <xdr:rowOff>33618</xdr:rowOff>
    </xdr:from>
    <xdr:to>
      <xdr:col>1</xdr:col>
      <xdr:colOff>5625353</xdr:colOff>
      <xdr:row>21</xdr:row>
      <xdr:rowOff>44824</xdr:rowOff>
    </xdr:to>
    <xdr:sp macro="[0]!Прямоугольниксдвумяскругленнымипротиволежащимиуглами1_Щелчок" textlink="">
      <xdr:nvSpPr>
        <xdr:cNvPr id="2" name="Прямоугольник с двумя скругленными противолежащими углами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6880412" y="3462618"/>
          <a:ext cx="1355912" cy="582706"/>
        </a:xfrm>
        <a:prstGeom prst="round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A15"/>
  <sheetViews>
    <sheetView zoomScale="115" zoomScaleNormal="115" workbookViewId="0">
      <selection activeCell="C3" sqref="C3"/>
    </sheetView>
  </sheetViews>
  <sheetFormatPr defaultRowHeight="15" x14ac:dyDescent="0.25"/>
  <cols>
    <col min="1" max="1" width="13.5703125" style="35" customWidth="1"/>
    <col min="2" max="2" width="34.140625" style="35" customWidth="1"/>
    <col min="3" max="4" width="16.42578125" bestFit="1" customWidth="1"/>
    <col min="5" max="12" width="15.28515625" bestFit="1" customWidth="1"/>
    <col min="13" max="26" width="16.42578125" bestFit="1" customWidth="1"/>
    <col min="27" max="27" width="10.7109375" customWidth="1"/>
  </cols>
  <sheetData>
    <row r="1" spans="1:27" x14ac:dyDescent="0.25">
      <c r="A1" s="12" t="s">
        <v>48</v>
      </c>
      <c r="B1" s="12" t="s">
        <v>9</v>
      </c>
      <c r="C1" s="41">
        <v>0</v>
      </c>
      <c r="D1" s="42">
        <v>4.1666666666666664E-2</v>
      </c>
      <c r="E1" s="42">
        <v>8.3333333333333301E-2</v>
      </c>
      <c r="F1" s="42">
        <v>0.125</v>
      </c>
      <c r="G1" s="42">
        <v>0.16666666666666699</v>
      </c>
      <c r="H1" s="42">
        <v>0.20833333333333301</v>
      </c>
      <c r="I1" s="42">
        <v>0.25</v>
      </c>
      <c r="J1" s="42">
        <v>0.29166666666666702</v>
      </c>
      <c r="K1" s="42">
        <v>0.33333333333333298</v>
      </c>
      <c r="L1" s="42">
        <v>0.375</v>
      </c>
      <c r="M1" s="42">
        <v>0.41666666666666702</v>
      </c>
      <c r="N1" s="42">
        <v>0.45833333333333298</v>
      </c>
      <c r="O1" s="42">
        <v>0.5</v>
      </c>
      <c r="P1" s="42">
        <v>0.54166666666666696</v>
      </c>
      <c r="Q1" s="42">
        <v>0.58333333333333304</v>
      </c>
      <c r="R1" s="42">
        <v>0.625</v>
      </c>
      <c r="S1" s="42">
        <v>0.66666666666666696</v>
      </c>
      <c r="T1" s="42">
        <v>0.70833333333333304</v>
      </c>
      <c r="U1" s="42">
        <v>0.75</v>
      </c>
      <c r="V1" s="42">
        <v>0.79166666666666696</v>
      </c>
      <c r="W1" s="42">
        <v>0.83333333333333304</v>
      </c>
      <c r="X1" s="42">
        <v>0.875</v>
      </c>
      <c r="Y1" s="42">
        <v>0.91666666666666696</v>
      </c>
      <c r="Z1" s="43">
        <v>0.95833333333333304</v>
      </c>
      <c r="AA1" s="15"/>
    </row>
    <row r="2" spans="1:27" x14ac:dyDescent="0.25">
      <c r="A2" s="55">
        <v>5212213</v>
      </c>
      <c r="B2" s="55">
        <v>5212213</v>
      </c>
      <c r="C2" s="44">
        <v>76.7760009765625</v>
      </c>
      <c r="D2" s="44">
        <v>76.7760009765625</v>
      </c>
      <c r="E2" s="44">
        <v>79.517997741699205</v>
      </c>
      <c r="F2" s="44">
        <v>81.346000671386705</v>
      </c>
      <c r="G2" s="44">
        <v>77.690002441406193</v>
      </c>
      <c r="H2" s="44">
        <v>77.690002441406193</v>
      </c>
      <c r="I2" s="44">
        <v>78.603996276855398</v>
      </c>
      <c r="J2" s="44">
        <v>77.690002441406193</v>
      </c>
      <c r="K2" s="44">
        <v>76.7760009765625</v>
      </c>
      <c r="L2" s="44">
        <v>74.947998046875</v>
      </c>
      <c r="M2" s="44">
        <v>74.033996582031193</v>
      </c>
      <c r="N2" s="44">
        <v>74.033996582031193</v>
      </c>
      <c r="O2" s="44">
        <v>74.033996582031193</v>
      </c>
      <c r="P2" s="44">
        <v>74.947998046875</v>
      </c>
      <c r="Q2" s="44">
        <v>75.861999511718693</v>
      </c>
      <c r="R2" s="44">
        <v>77.690002441406193</v>
      </c>
      <c r="S2" s="44">
        <v>74.947998046875</v>
      </c>
      <c r="T2" s="44">
        <v>75.861999511718693</v>
      </c>
      <c r="U2" s="44">
        <v>74.947998046875</v>
      </c>
      <c r="V2" s="44">
        <v>73.120002746582003</v>
      </c>
      <c r="W2" s="44">
        <v>71.291999816894503</v>
      </c>
      <c r="X2" s="44">
        <v>73.120002746582003</v>
      </c>
      <c r="Y2" s="44">
        <v>73.120002746582003</v>
      </c>
      <c r="Z2" s="44">
        <v>72.206001281738196</v>
      </c>
      <c r="AA2" s="1"/>
    </row>
    <row r="3" spans="1:27" x14ac:dyDescent="0.25">
      <c r="A3" s="55">
        <v>51102</v>
      </c>
      <c r="B3" s="55">
        <v>51102</v>
      </c>
      <c r="C3" s="44">
        <v>21.997999191284102</v>
      </c>
      <c r="D3" s="44">
        <v>21.882400512695298</v>
      </c>
      <c r="E3" s="44">
        <v>22.487600326538001</v>
      </c>
      <c r="F3" s="44">
        <v>22.031999588012599</v>
      </c>
      <c r="G3" s="44">
        <v>23.786399841308501</v>
      </c>
      <c r="H3" s="44">
        <v>23.493999481201101</v>
      </c>
      <c r="I3" s="44">
        <v>22.780000686645501</v>
      </c>
      <c r="J3" s="44">
        <v>22.6168003082275</v>
      </c>
      <c r="K3" s="44">
        <v>21.447200775146399</v>
      </c>
      <c r="L3" s="44">
        <v>21.447200775146399</v>
      </c>
      <c r="M3" s="44">
        <v>21.284000396728501</v>
      </c>
      <c r="N3" s="44">
        <v>21.426799774169901</v>
      </c>
      <c r="O3" s="44">
        <v>21.100400924682599</v>
      </c>
      <c r="P3" s="44">
        <v>20.576799392700099</v>
      </c>
      <c r="Q3" s="44">
        <v>21.848400115966701</v>
      </c>
      <c r="R3" s="44">
        <v>21.066400527954102</v>
      </c>
      <c r="S3" s="44">
        <v>21.8892002105712</v>
      </c>
      <c r="T3" s="44">
        <v>21.8619995117187</v>
      </c>
      <c r="U3" s="44">
        <v>21.243200302123999</v>
      </c>
      <c r="V3" s="44">
        <v>21.7735996246337</v>
      </c>
      <c r="W3" s="44">
        <v>22.0932006835937</v>
      </c>
      <c r="X3" s="44">
        <v>21.284000396728501</v>
      </c>
      <c r="Y3" s="44">
        <v>20.991600036621001</v>
      </c>
      <c r="Z3" s="44">
        <v>22.113599777221602</v>
      </c>
      <c r="AA3" s="1"/>
    </row>
    <row r="4" spans="1:27" x14ac:dyDescent="0.25">
      <c r="A4" s="55">
        <v>51118</v>
      </c>
      <c r="B4" s="55">
        <v>51118</v>
      </c>
      <c r="C4" s="44">
        <v>39.315868377685497</v>
      </c>
      <c r="D4" s="44">
        <v>39.397411346435497</v>
      </c>
      <c r="E4" s="44">
        <v>40.606918334960902</v>
      </c>
      <c r="F4" s="44">
        <v>41.028209686279297</v>
      </c>
      <c r="G4" s="44">
        <v>41.204879760742102</v>
      </c>
      <c r="H4" s="44">
        <v>40.511791229247997</v>
      </c>
      <c r="I4" s="44">
        <v>40.212810516357401</v>
      </c>
      <c r="J4" s="44">
        <v>40.253578186035099</v>
      </c>
      <c r="K4" s="44">
        <v>38.663551330566399</v>
      </c>
      <c r="L4" s="44">
        <v>38.255851745605398</v>
      </c>
      <c r="M4" s="44">
        <v>38.418930053710902</v>
      </c>
      <c r="N4" s="44">
        <v>38.119949340820298</v>
      </c>
      <c r="O4" s="44">
        <v>38.269439697265597</v>
      </c>
      <c r="P4" s="44">
        <v>38.853809356689403</v>
      </c>
      <c r="Q4" s="44">
        <v>39.356639862060497</v>
      </c>
      <c r="R4" s="44">
        <v>39.587669372558501</v>
      </c>
      <c r="S4" s="44">
        <v>39.900241851806598</v>
      </c>
      <c r="T4" s="44">
        <v>39.438179016113203</v>
      </c>
      <c r="U4" s="44">
        <v>39.492538452148402</v>
      </c>
      <c r="V4" s="44">
        <v>39.614849090576101</v>
      </c>
      <c r="W4" s="44">
        <v>38.663551330566399</v>
      </c>
      <c r="X4" s="44">
        <v>38.541240692138601</v>
      </c>
      <c r="Y4" s="44">
        <v>38.5684204101562</v>
      </c>
      <c r="Z4" s="44">
        <v>38.935348510742102</v>
      </c>
      <c r="AA4" s="1"/>
    </row>
    <row r="5" spans="1:27" x14ac:dyDescent="0.25">
      <c r="A5" s="56">
        <v>51120</v>
      </c>
      <c r="B5" s="56">
        <v>51120</v>
      </c>
      <c r="C5" s="44">
        <v>37.9575996398925</v>
      </c>
      <c r="D5" s="44">
        <v>38.107200622558501</v>
      </c>
      <c r="E5" s="44">
        <v>39.167999267578097</v>
      </c>
      <c r="F5" s="44">
        <v>39.589599609375</v>
      </c>
      <c r="G5" s="44">
        <v>39.684799194335902</v>
      </c>
      <c r="H5" s="44">
        <v>39.072799682617102</v>
      </c>
      <c r="I5" s="44">
        <v>38.732799530029297</v>
      </c>
      <c r="J5" s="44">
        <v>38.1888008117675</v>
      </c>
      <c r="K5" s="44">
        <v>37.250400543212798</v>
      </c>
      <c r="L5" s="44">
        <v>36.923999786376903</v>
      </c>
      <c r="M5" s="44">
        <v>36.787998199462798</v>
      </c>
      <c r="N5" s="44">
        <v>36.624801635742102</v>
      </c>
      <c r="O5" s="44">
        <v>36.855998992919901</v>
      </c>
      <c r="P5" s="44">
        <v>36.992000579833899</v>
      </c>
      <c r="Q5" s="44">
        <v>37.916801452636697</v>
      </c>
      <c r="R5" s="44">
        <v>38.120800018310497</v>
      </c>
      <c r="S5" s="44">
        <v>38.284000396728501</v>
      </c>
      <c r="T5" s="44">
        <v>38.025600433349602</v>
      </c>
      <c r="U5" s="44">
        <v>37.794399261474602</v>
      </c>
      <c r="V5" s="44">
        <v>37.712799072265597</v>
      </c>
      <c r="W5" s="44">
        <v>37.2911987304687</v>
      </c>
      <c r="X5" s="44">
        <v>37.209598541259702</v>
      </c>
      <c r="Y5" s="44">
        <v>37.250400543212798</v>
      </c>
      <c r="Z5" s="44">
        <v>37.549598693847599</v>
      </c>
      <c r="AA5" s="1"/>
    </row>
    <row r="6" spans="1:27" x14ac:dyDescent="0.25">
      <c r="A6" s="55">
        <v>5215909</v>
      </c>
      <c r="B6" s="55" t="s">
        <v>47</v>
      </c>
      <c r="C6" s="44">
        <v>176.04746818542401</v>
      </c>
      <c r="D6" s="44">
        <v>176.16301345825099</v>
      </c>
      <c r="E6" s="44">
        <v>181.780515670776</v>
      </c>
      <c r="F6" s="44">
        <v>183.995809555053</v>
      </c>
      <c r="G6" s="44">
        <v>182.366081237792</v>
      </c>
      <c r="H6" s="44">
        <v>180.768592834472</v>
      </c>
      <c r="I6" s="44">
        <v>180.32960700988701</v>
      </c>
      <c r="J6" s="44">
        <v>178.74918174743601</v>
      </c>
      <c r="K6" s="44">
        <v>174.137153625488</v>
      </c>
      <c r="L6" s="44">
        <v>171.575050354003</v>
      </c>
      <c r="M6" s="44">
        <v>170.524925231933</v>
      </c>
      <c r="N6" s="44">
        <v>170.20554733276299</v>
      </c>
      <c r="O6" s="44">
        <v>170.25983619689899</v>
      </c>
      <c r="P6" s="44">
        <v>171.37060737609801</v>
      </c>
      <c r="Q6" s="44">
        <v>174.98384094238199</v>
      </c>
      <c r="R6" s="44">
        <v>176.46487236022901</v>
      </c>
      <c r="S6" s="44">
        <v>175.02144050598099</v>
      </c>
      <c r="T6" s="44">
        <v>175.18777847289999</v>
      </c>
      <c r="U6" s="44">
        <v>173.47813606262201</v>
      </c>
      <c r="V6" s="44">
        <v>172.22125053405699</v>
      </c>
      <c r="W6" s="44">
        <v>169.33995056152301</v>
      </c>
      <c r="X6" s="44">
        <v>170.15484237670799</v>
      </c>
      <c r="Y6" s="44">
        <v>169.93042373657201</v>
      </c>
      <c r="Z6" s="44">
        <v>170.80454826354901</v>
      </c>
      <c r="AA6" s="1"/>
    </row>
    <row r="7" spans="1:27" x14ac:dyDescent="0.25">
      <c r="A7" s="55"/>
      <c r="B7" s="55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1"/>
    </row>
    <row r="8" spans="1:27" x14ac:dyDescent="0.25">
      <c r="A8" s="57"/>
      <c r="B8" s="55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</row>
    <row r="9" spans="1:27" x14ac:dyDescent="0.25">
      <c r="A9" s="58"/>
      <c r="B9" s="5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7" x14ac:dyDescent="0.25">
      <c r="AA10" s="1"/>
    </row>
    <row r="11" spans="1:27" x14ac:dyDescent="0.25">
      <c r="AA11" s="1"/>
    </row>
    <row r="12" spans="1:27" x14ac:dyDescent="0.25">
      <c r="AA12" s="1"/>
    </row>
    <row r="13" spans="1:27" x14ac:dyDescent="0.25">
      <c r="AA13" s="1"/>
    </row>
    <row r="14" spans="1:27" x14ac:dyDescent="0.25">
      <c r="A14" s="36" t="s">
        <v>48</v>
      </c>
      <c r="B14" s="37" t="s">
        <v>52</v>
      </c>
    </row>
    <row r="15" spans="1:27" x14ac:dyDescent="0.25">
      <c r="A15" s="37"/>
      <c r="B15" s="3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B13"/>
  <sheetViews>
    <sheetView topLeftCell="B1" zoomScale="85" zoomScaleNormal="85" workbookViewId="0">
      <selection activeCell="E5" sqref="E5"/>
    </sheetView>
  </sheetViews>
  <sheetFormatPr defaultRowHeight="15" x14ac:dyDescent="0.25"/>
  <cols>
    <col min="1" max="1" width="18.85546875" hidden="1" customWidth="1"/>
    <col min="2" max="2" width="47.5703125" style="33" customWidth="1"/>
    <col min="3" max="3" width="10.28515625" hidden="1" customWidth="1"/>
    <col min="4" max="4" width="39.42578125" hidden="1" customWidth="1"/>
    <col min="5" max="28" width="8.7109375" customWidth="1"/>
  </cols>
  <sheetData>
    <row r="1" spans="1:28" ht="30" x14ac:dyDescent="0.25">
      <c r="A1" s="27" t="s">
        <v>1</v>
      </c>
      <c r="B1" s="46" t="s">
        <v>4</v>
      </c>
      <c r="C1" s="28" t="s">
        <v>5</v>
      </c>
      <c r="D1" s="28" t="s">
        <v>14</v>
      </c>
      <c r="E1" s="64" t="s">
        <v>3</v>
      </c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6"/>
    </row>
    <row r="2" spans="1:28" x14ac:dyDescent="0.25">
      <c r="A2" s="29"/>
      <c r="B2" s="48"/>
      <c r="C2" s="30"/>
      <c r="D2" s="30"/>
      <c r="E2" s="67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9"/>
    </row>
    <row r="3" spans="1:28" ht="15.75" thickBot="1" x14ac:dyDescent="0.3">
      <c r="A3" s="31"/>
      <c r="B3" s="47"/>
      <c r="C3" s="32"/>
      <c r="D3" s="32"/>
      <c r="E3" s="7">
        <v>0</v>
      </c>
      <c r="F3" s="4">
        <v>4.1666666666666664E-2</v>
      </c>
      <c r="G3" s="4">
        <v>8.3333333333333301E-2</v>
      </c>
      <c r="H3" s="4">
        <v>0.125</v>
      </c>
      <c r="I3" s="4">
        <v>0.16666666666666699</v>
      </c>
      <c r="J3" s="4">
        <v>0.20833333333333301</v>
      </c>
      <c r="K3" s="4">
        <v>0.25</v>
      </c>
      <c r="L3" s="4">
        <v>0.29166666666666702</v>
      </c>
      <c r="M3" s="4">
        <v>0.33333333333333298</v>
      </c>
      <c r="N3" s="4">
        <v>0.375</v>
      </c>
      <c r="O3" s="4">
        <v>0.41666666666666702</v>
      </c>
      <c r="P3" s="4">
        <v>0.45833333333333298</v>
      </c>
      <c r="Q3" s="4">
        <v>0.5</v>
      </c>
      <c r="R3" s="4">
        <v>0.54166666666666696</v>
      </c>
      <c r="S3" s="4">
        <v>0.58333333333333304</v>
      </c>
      <c r="T3" s="4">
        <v>0.625</v>
      </c>
      <c r="U3" s="4">
        <v>0.66666666666666696</v>
      </c>
      <c r="V3" s="4">
        <v>0.70833333333333304</v>
      </c>
      <c r="W3" s="4">
        <v>0.75</v>
      </c>
      <c r="X3" s="4">
        <v>0.79166666666666696</v>
      </c>
      <c r="Y3" s="4">
        <v>0.83333333333333304</v>
      </c>
      <c r="Z3" s="4">
        <v>0.875</v>
      </c>
      <c r="AA3" s="4">
        <v>0.91666666666666696</v>
      </c>
      <c r="AB3" s="5">
        <v>0.95833333333333304</v>
      </c>
    </row>
    <row r="4" spans="1:28" ht="15.75" hidden="1" thickBot="1" x14ac:dyDescent="0.3">
      <c r="A4" s="61" t="s">
        <v>13</v>
      </c>
      <c r="B4" s="62"/>
      <c r="C4" s="62"/>
      <c r="D4" s="63"/>
      <c r="E4" s="18">
        <v>3</v>
      </c>
      <c r="F4" s="19">
        <v>4</v>
      </c>
      <c r="G4" s="18">
        <v>5</v>
      </c>
      <c r="H4" s="19">
        <v>6</v>
      </c>
      <c r="I4" s="18">
        <v>7</v>
      </c>
      <c r="J4" s="19">
        <v>8</v>
      </c>
      <c r="K4" s="18">
        <v>9</v>
      </c>
      <c r="L4" s="19">
        <v>10</v>
      </c>
      <c r="M4" s="18">
        <v>11</v>
      </c>
      <c r="N4" s="19">
        <v>12</v>
      </c>
      <c r="O4" s="18">
        <v>13</v>
      </c>
      <c r="P4" s="19">
        <v>14</v>
      </c>
      <c r="Q4" s="18">
        <v>15</v>
      </c>
      <c r="R4" s="19">
        <v>16</v>
      </c>
      <c r="S4" s="18">
        <v>17</v>
      </c>
      <c r="T4" s="19">
        <v>18</v>
      </c>
      <c r="U4" s="18">
        <v>19</v>
      </c>
      <c r="V4" s="19">
        <v>20</v>
      </c>
      <c r="W4" s="18">
        <v>21</v>
      </c>
      <c r="X4" s="19">
        <v>22</v>
      </c>
      <c r="Y4" s="18">
        <v>23</v>
      </c>
      <c r="Z4" s="19">
        <v>24</v>
      </c>
      <c r="AA4" s="18">
        <v>25</v>
      </c>
      <c r="AB4" s="19">
        <v>26</v>
      </c>
    </row>
    <row r="5" spans="1:28" x14ac:dyDescent="0.25">
      <c r="A5" s="8" t="s">
        <v>44</v>
      </c>
      <c r="B5" s="49" t="s">
        <v>50</v>
      </c>
      <c r="C5" s="2" t="s">
        <v>2</v>
      </c>
      <c r="D5" s="3" t="s">
        <v>45</v>
      </c>
      <c r="E5" s="6">
        <f t="shared" ref="E5:AB5" si="0">ROUND(E11/E6,4)</f>
        <v>7.5499999999999998E-2</v>
      </c>
      <c r="F5" s="6">
        <f t="shared" si="0"/>
        <v>7.7899999999999997E-2</v>
      </c>
      <c r="G5" s="6">
        <f t="shared" si="0"/>
        <v>7.6700000000000004E-2</v>
      </c>
      <c r="H5" s="6">
        <f t="shared" si="0"/>
        <v>7.4700000000000003E-2</v>
      </c>
      <c r="I5" s="6">
        <f t="shared" si="0"/>
        <v>7.4800000000000005E-2</v>
      </c>
      <c r="J5" s="6">
        <f t="shared" si="0"/>
        <v>7.46E-2</v>
      </c>
      <c r="K5" s="6">
        <f t="shared" si="0"/>
        <v>7.3899999999999993E-2</v>
      </c>
      <c r="L5" s="6">
        <f t="shared" si="0"/>
        <v>7.1499999999999994E-2</v>
      </c>
      <c r="M5" s="6">
        <f t="shared" si="0"/>
        <v>7.3099999999999998E-2</v>
      </c>
      <c r="N5" s="6">
        <f t="shared" si="0"/>
        <v>7.4200000000000002E-2</v>
      </c>
      <c r="O5" s="6">
        <f t="shared" si="0"/>
        <v>7.2599999999999998E-2</v>
      </c>
      <c r="P5" s="6">
        <f t="shared" si="0"/>
        <v>7.6399999999999996E-2</v>
      </c>
      <c r="Q5" s="6">
        <f t="shared" si="0"/>
        <v>7.6600000000000001E-2</v>
      </c>
      <c r="R5" s="6">
        <f t="shared" si="0"/>
        <v>7.6200000000000004E-2</v>
      </c>
      <c r="S5" s="6">
        <f t="shared" si="0"/>
        <v>7.46E-2</v>
      </c>
      <c r="T5" s="6">
        <f t="shared" si="0"/>
        <v>7.3200000000000001E-2</v>
      </c>
      <c r="U5" s="6">
        <f t="shared" si="0"/>
        <v>7.46E-2</v>
      </c>
      <c r="V5" s="6">
        <f t="shared" si="0"/>
        <v>7.4300000000000005E-2</v>
      </c>
      <c r="W5" s="6">
        <f t="shared" si="0"/>
        <v>7.4200000000000002E-2</v>
      </c>
      <c r="X5" s="6">
        <f t="shared" si="0"/>
        <v>7.3999999999999996E-2</v>
      </c>
      <c r="Y5" s="6">
        <f t="shared" si="0"/>
        <v>7.6700000000000004E-2</v>
      </c>
      <c r="Z5" s="6">
        <f t="shared" si="0"/>
        <v>8.0500000000000002E-2</v>
      </c>
      <c r="AA5" s="6">
        <f t="shared" si="0"/>
        <v>7.7600000000000002E-2</v>
      </c>
      <c r="AB5" s="6">
        <f t="shared" si="0"/>
        <v>7.4700000000000003E-2</v>
      </c>
    </row>
    <row r="6" spans="1:28" x14ac:dyDescent="0.25">
      <c r="A6" s="9"/>
      <c r="B6" s="51" t="s">
        <v>49</v>
      </c>
      <c r="C6" s="52"/>
      <c r="D6" s="53"/>
      <c r="E6" s="54">
        <f t="shared" ref="E6:AB6" si="1">SUM(E7:E10)</f>
        <v>176.04746818542458</v>
      </c>
      <c r="F6" s="54">
        <f t="shared" si="1"/>
        <v>176.16301345825181</v>
      </c>
      <c r="G6" s="54">
        <f t="shared" si="1"/>
        <v>181.7805156707762</v>
      </c>
      <c r="H6" s="54">
        <f t="shared" si="1"/>
        <v>183.9958095550536</v>
      </c>
      <c r="I6" s="54">
        <f t="shared" si="1"/>
        <v>182.36608123779271</v>
      </c>
      <c r="J6" s="54">
        <f t="shared" si="1"/>
        <v>180.7685928344724</v>
      </c>
      <c r="K6" s="54">
        <f t="shared" si="1"/>
        <v>180.32960700988758</v>
      </c>
      <c r="L6" s="54">
        <f t="shared" si="1"/>
        <v>178.74918174743627</v>
      </c>
      <c r="M6" s="54">
        <f t="shared" si="1"/>
        <v>174.13715362548811</v>
      </c>
      <c r="N6" s="54">
        <f t="shared" si="1"/>
        <v>171.57505035400368</v>
      </c>
      <c r="O6" s="54">
        <f t="shared" si="1"/>
        <v>170.52492523193339</v>
      </c>
      <c r="P6" s="54">
        <f t="shared" si="1"/>
        <v>170.20554733276347</v>
      </c>
      <c r="Q6" s="54">
        <f t="shared" si="1"/>
        <v>170.25983619689927</v>
      </c>
      <c r="R6" s="54">
        <f t="shared" si="1"/>
        <v>171.37060737609841</v>
      </c>
      <c r="S6" s="54">
        <f t="shared" si="1"/>
        <v>174.98384094238259</v>
      </c>
      <c r="T6" s="54">
        <f t="shared" si="1"/>
        <v>176.46487236022929</v>
      </c>
      <c r="U6" s="54">
        <f t="shared" si="1"/>
        <v>175.02144050598133</v>
      </c>
      <c r="V6" s="54">
        <f t="shared" si="1"/>
        <v>175.18777847290019</v>
      </c>
      <c r="W6" s="54">
        <f t="shared" si="1"/>
        <v>173.47813606262201</v>
      </c>
      <c r="X6" s="54">
        <f t="shared" si="1"/>
        <v>172.22125053405742</v>
      </c>
      <c r="Y6" s="54">
        <f t="shared" si="1"/>
        <v>169.3399505615233</v>
      </c>
      <c r="Z6" s="54">
        <f t="shared" si="1"/>
        <v>170.15484237670881</v>
      </c>
      <c r="AA6" s="54">
        <f t="shared" si="1"/>
        <v>169.93042373657201</v>
      </c>
      <c r="AB6" s="54">
        <f t="shared" si="1"/>
        <v>170.80454826354949</v>
      </c>
    </row>
    <row r="7" spans="1:28" x14ac:dyDescent="0.25">
      <c r="A7" s="22" t="s">
        <v>7</v>
      </c>
      <c r="B7" s="59">
        <f>Source!B2</f>
        <v>5212213</v>
      </c>
      <c r="C7" s="38" t="s">
        <v>0</v>
      </c>
      <c r="D7" s="39" t="s">
        <v>39</v>
      </c>
      <c r="E7" s="40">
        <f>Source!C$2</f>
        <v>76.7760009765625</v>
      </c>
      <c r="F7" s="40">
        <f>Source!D$2</f>
        <v>76.7760009765625</v>
      </c>
      <c r="G7" s="40">
        <f>Source!E$2</f>
        <v>79.517997741699205</v>
      </c>
      <c r="H7" s="40">
        <f>Source!F$2</f>
        <v>81.346000671386705</v>
      </c>
      <c r="I7" s="40">
        <f>Source!G$2</f>
        <v>77.690002441406193</v>
      </c>
      <c r="J7" s="40">
        <f>Source!H$2</f>
        <v>77.690002441406193</v>
      </c>
      <c r="K7" s="40">
        <f>Source!I$2</f>
        <v>78.603996276855398</v>
      </c>
      <c r="L7" s="40">
        <f>Source!J$2</f>
        <v>77.690002441406193</v>
      </c>
      <c r="M7" s="40">
        <f>Source!K$2</f>
        <v>76.7760009765625</v>
      </c>
      <c r="N7" s="40">
        <f>Source!L$2</f>
        <v>74.947998046875</v>
      </c>
      <c r="O7" s="40">
        <f>Source!M$2</f>
        <v>74.033996582031193</v>
      </c>
      <c r="P7" s="40">
        <f>Source!N$2</f>
        <v>74.033996582031193</v>
      </c>
      <c r="Q7" s="40">
        <f>Source!O$2</f>
        <v>74.033996582031193</v>
      </c>
      <c r="R7" s="40">
        <f>Source!P$2</f>
        <v>74.947998046875</v>
      </c>
      <c r="S7" s="40">
        <f>Source!Q$2</f>
        <v>75.861999511718693</v>
      </c>
      <c r="T7" s="40">
        <f>Source!R$2</f>
        <v>77.690002441406193</v>
      </c>
      <c r="U7" s="40">
        <f>Source!S$2</f>
        <v>74.947998046875</v>
      </c>
      <c r="V7" s="40">
        <f>Source!T$2</f>
        <v>75.861999511718693</v>
      </c>
      <c r="W7" s="40">
        <f>Source!U$2</f>
        <v>74.947998046875</v>
      </c>
      <c r="X7" s="40">
        <f>Source!V$2</f>
        <v>73.120002746582003</v>
      </c>
      <c r="Y7" s="40">
        <f>Source!W$2</f>
        <v>71.291999816894503</v>
      </c>
      <c r="Z7" s="40">
        <f>Source!X$2</f>
        <v>73.120002746582003</v>
      </c>
      <c r="AA7" s="40">
        <f>Source!Y$2</f>
        <v>73.120002746582003</v>
      </c>
      <c r="AB7" s="40">
        <f>Source!Z$2</f>
        <v>72.206001281738196</v>
      </c>
    </row>
    <row r="8" spans="1:28" x14ac:dyDescent="0.25">
      <c r="A8" s="22"/>
      <c r="B8" s="59">
        <f>Source!B3</f>
        <v>51102</v>
      </c>
      <c r="C8" s="38" t="s">
        <v>0</v>
      </c>
      <c r="D8" s="39" t="s">
        <v>40</v>
      </c>
      <c r="E8" s="40">
        <f>Source!C$3</f>
        <v>21.997999191284102</v>
      </c>
      <c r="F8" s="40">
        <f>Source!D$3</f>
        <v>21.882400512695298</v>
      </c>
      <c r="G8" s="40">
        <f>Source!E$3</f>
        <v>22.487600326538001</v>
      </c>
      <c r="H8" s="40">
        <f>Source!F$3</f>
        <v>22.031999588012599</v>
      </c>
      <c r="I8" s="40">
        <f>Source!G$3</f>
        <v>23.786399841308501</v>
      </c>
      <c r="J8" s="40">
        <f>Source!H$3</f>
        <v>23.493999481201101</v>
      </c>
      <c r="K8" s="40">
        <f>Source!I$3</f>
        <v>22.780000686645501</v>
      </c>
      <c r="L8" s="40">
        <f>Source!J$3</f>
        <v>22.6168003082275</v>
      </c>
      <c r="M8" s="40">
        <f>Source!K$3</f>
        <v>21.447200775146399</v>
      </c>
      <c r="N8" s="40">
        <f>Source!L$3</f>
        <v>21.447200775146399</v>
      </c>
      <c r="O8" s="40">
        <f>Source!M$3</f>
        <v>21.284000396728501</v>
      </c>
      <c r="P8" s="40">
        <f>Source!N$3</f>
        <v>21.426799774169901</v>
      </c>
      <c r="Q8" s="40">
        <f>Source!O$3</f>
        <v>21.100400924682599</v>
      </c>
      <c r="R8" s="40">
        <f>Source!P$3</f>
        <v>20.576799392700099</v>
      </c>
      <c r="S8" s="40">
        <f>Source!Q$3</f>
        <v>21.848400115966701</v>
      </c>
      <c r="T8" s="40">
        <f>Source!R$3</f>
        <v>21.066400527954102</v>
      </c>
      <c r="U8" s="40">
        <f>Source!S$3</f>
        <v>21.8892002105712</v>
      </c>
      <c r="V8" s="40">
        <f>Source!T$3</f>
        <v>21.8619995117187</v>
      </c>
      <c r="W8" s="40">
        <f>Source!U$3</f>
        <v>21.243200302123999</v>
      </c>
      <c r="X8" s="40">
        <f>Source!V$3</f>
        <v>21.7735996246337</v>
      </c>
      <c r="Y8" s="40">
        <f>Source!W$3</f>
        <v>22.0932006835937</v>
      </c>
      <c r="Z8" s="40">
        <f>Source!X$3</f>
        <v>21.284000396728501</v>
      </c>
      <c r="AA8" s="40">
        <f>Source!Y$3</f>
        <v>20.991600036621001</v>
      </c>
      <c r="AB8" s="40">
        <f>Source!Z$3</f>
        <v>22.113599777221602</v>
      </c>
    </row>
    <row r="9" spans="1:28" x14ac:dyDescent="0.25">
      <c r="A9" s="22"/>
      <c r="B9" s="59">
        <f>Source!B4</f>
        <v>51118</v>
      </c>
      <c r="C9" s="38" t="s">
        <v>0</v>
      </c>
      <c r="D9" s="39" t="s">
        <v>41</v>
      </c>
      <c r="E9" s="40">
        <f>Source!C$4</f>
        <v>39.315868377685497</v>
      </c>
      <c r="F9" s="40">
        <f>Source!D$4</f>
        <v>39.397411346435497</v>
      </c>
      <c r="G9" s="40">
        <f>Source!E$4</f>
        <v>40.606918334960902</v>
      </c>
      <c r="H9" s="40">
        <f>Source!F$4</f>
        <v>41.028209686279297</v>
      </c>
      <c r="I9" s="40">
        <f>Source!G$4</f>
        <v>41.204879760742102</v>
      </c>
      <c r="J9" s="40">
        <f>Source!H$4</f>
        <v>40.511791229247997</v>
      </c>
      <c r="K9" s="40">
        <f>Source!I$4</f>
        <v>40.212810516357401</v>
      </c>
      <c r="L9" s="40">
        <f>Source!J$4</f>
        <v>40.253578186035099</v>
      </c>
      <c r="M9" s="40">
        <f>Source!K$4</f>
        <v>38.663551330566399</v>
      </c>
      <c r="N9" s="40">
        <f>Source!L$4</f>
        <v>38.255851745605398</v>
      </c>
      <c r="O9" s="40">
        <f>Source!M$4</f>
        <v>38.418930053710902</v>
      </c>
      <c r="P9" s="40">
        <f>Source!N$4</f>
        <v>38.119949340820298</v>
      </c>
      <c r="Q9" s="40">
        <f>Source!O$4</f>
        <v>38.269439697265597</v>
      </c>
      <c r="R9" s="40">
        <f>Source!P$4</f>
        <v>38.853809356689403</v>
      </c>
      <c r="S9" s="40">
        <f>Source!Q$4</f>
        <v>39.356639862060497</v>
      </c>
      <c r="T9" s="40">
        <f>Source!R$4</f>
        <v>39.587669372558501</v>
      </c>
      <c r="U9" s="40">
        <f>Source!S$4</f>
        <v>39.900241851806598</v>
      </c>
      <c r="V9" s="40">
        <f>Source!T$4</f>
        <v>39.438179016113203</v>
      </c>
      <c r="W9" s="40">
        <f>Source!U$4</f>
        <v>39.492538452148402</v>
      </c>
      <c r="X9" s="40">
        <f>Source!V$4</f>
        <v>39.614849090576101</v>
      </c>
      <c r="Y9" s="40">
        <f>Source!W$4</f>
        <v>38.663551330566399</v>
      </c>
      <c r="Z9" s="40">
        <f>Source!X$4</f>
        <v>38.541240692138601</v>
      </c>
      <c r="AA9" s="40">
        <f>Source!Y$4</f>
        <v>38.5684204101562</v>
      </c>
      <c r="AB9" s="40">
        <f>Source!Z$4</f>
        <v>38.935348510742102</v>
      </c>
    </row>
    <row r="10" spans="1:28" x14ac:dyDescent="0.25">
      <c r="A10" s="22"/>
      <c r="B10" s="59">
        <f>Source!B5</f>
        <v>51120</v>
      </c>
      <c r="C10" s="38" t="s">
        <v>0</v>
      </c>
      <c r="D10" s="39" t="s">
        <v>42</v>
      </c>
      <c r="E10" s="40">
        <f>Source!C$5</f>
        <v>37.9575996398925</v>
      </c>
      <c r="F10" s="40">
        <f>Source!D$5</f>
        <v>38.107200622558501</v>
      </c>
      <c r="G10" s="40">
        <f>Source!E$5</f>
        <v>39.167999267578097</v>
      </c>
      <c r="H10" s="40">
        <f>Source!F$5</f>
        <v>39.589599609375</v>
      </c>
      <c r="I10" s="40">
        <f>Source!G$5</f>
        <v>39.684799194335902</v>
      </c>
      <c r="J10" s="40">
        <f>Source!H$5</f>
        <v>39.072799682617102</v>
      </c>
      <c r="K10" s="40">
        <f>Source!I$5</f>
        <v>38.732799530029297</v>
      </c>
      <c r="L10" s="40">
        <f>Source!J$5</f>
        <v>38.1888008117675</v>
      </c>
      <c r="M10" s="40">
        <f>Source!K$5</f>
        <v>37.250400543212798</v>
      </c>
      <c r="N10" s="40">
        <f>Source!L$5</f>
        <v>36.923999786376903</v>
      </c>
      <c r="O10" s="40">
        <f>Source!M$5</f>
        <v>36.787998199462798</v>
      </c>
      <c r="P10" s="40">
        <f>Source!N$5</f>
        <v>36.624801635742102</v>
      </c>
      <c r="Q10" s="40">
        <f>Source!O$5</f>
        <v>36.855998992919901</v>
      </c>
      <c r="R10" s="40">
        <f>Source!P$5</f>
        <v>36.992000579833899</v>
      </c>
      <c r="S10" s="40">
        <f>Source!Q$5</f>
        <v>37.916801452636697</v>
      </c>
      <c r="T10" s="40">
        <f>Source!R$5</f>
        <v>38.120800018310497</v>
      </c>
      <c r="U10" s="40">
        <f>Source!S$5</f>
        <v>38.284000396728501</v>
      </c>
      <c r="V10" s="40">
        <f>Source!T$5</f>
        <v>38.025600433349602</v>
      </c>
      <c r="W10" s="40">
        <f>Source!U$5</f>
        <v>37.794399261474602</v>
      </c>
      <c r="X10" s="40">
        <f>Source!V$5</f>
        <v>37.712799072265597</v>
      </c>
      <c r="Y10" s="40">
        <f>Source!W$5</f>
        <v>37.2911987304687</v>
      </c>
      <c r="Z10" s="40">
        <f>Source!X$5</f>
        <v>37.209598541259702</v>
      </c>
      <c r="AA10" s="40">
        <f>Source!Y$5</f>
        <v>37.250400543212798</v>
      </c>
      <c r="AB10" s="40">
        <f>Source!Z$5</f>
        <v>37.549598693847599</v>
      </c>
    </row>
    <row r="11" spans="1:28" ht="15.75" thickBot="1" x14ac:dyDescent="0.3">
      <c r="A11" s="10" t="s">
        <v>43</v>
      </c>
      <c r="B11" s="50" t="s">
        <v>51</v>
      </c>
      <c r="C11" s="23" t="s">
        <v>6</v>
      </c>
      <c r="D11" s="24"/>
      <c r="E11" s="20">
        <v>13.286587171366712</v>
      </c>
      <c r="F11" s="20">
        <v>13.731104847543127</v>
      </c>
      <c r="G11" s="20">
        <v>13.940830011731508</v>
      </c>
      <c r="H11" s="20">
        <v>13.738218691978958</v>
      </c>
      <c r="I11" s="20">
        <v>13.637928931862845</v>
      </c>
      <c r="J11" s="20">
        <v>13.48678222828118</v>
      </c>
      <c r="K11" s="20">
        <v>13.326945126049413</v>
      </c>
      <c r="L11" s="20">
        <v>12.784555819745743</v>
      </c>
      <c r="M11" s="20">
        <v>12.722209958106975</v>
      </c>
      <c r="N11" s="20">
        <v>12.737877729445675</v>
      </c>
      <c r="O11" s="20">
        <v>12.38848425590813</v>
      </c>
      <c r="P11" s="20">
        <v>13.010630774527012</v>
      </c>
      <c r="Q11" s="20">
        <v>13.04858791280073</v>
      </c>
      <c r="R11" s="20">
        <v>13.061936003918481</v>
      </c>
      <c r="S11" s="20">
        <v>13.047335903338583</v>
      </c>
      <c r="T11" s="20">
        <v>12.920437207850254</v>
      </c>
      <c r="U11" s="20">
        <v>13.055710583767477</v>
      </c>
      <c r="V11" s="20">
        <v>13.014982933232208</v>
      </c>
      <c r="W11" s="20">
        <v>12.864782535609253</v>
      </c>
      <c r="X11" s="20">
        <v>12.737276506897555</v>
      </c>
      <c r="Y11" s="20">
        <v>12.981793479580618</v>
      </c>
      <c r="Z11" s="20">
        <v>13.703211312440763</v>
      </c>
      <c r="AA11" s="20">
        <v>13.187976149534311</v>
      </c>
      <c r="AB11" s="20">
        <v>12.766631615753376</v>
      </c>
    </row>
    <row r="13" spans="1:28" ht="15.75" thickBot="1" x14ac:dyDescent="0.3">
      <c r="A13" s="14"/>
      <c r="B13" s="50" t="s">
        <v>51</v>
      </c>
      <c r="E13" s="34" t="s">
        <v>52</v>
      </c>
    </row>
  </sheetData>
  <mergeCells count="2">
    <mergeCell ref="A4:D4"/>
    <mergeCell ref="E1:AB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Z15"/>
  <sheetViews>
    <sheetView tabSelected="1" zoomScale="85" zoomScaleNormal="85" workbookViewId="0"/>
  </sheetViews>
  <sheetFormatPr defaultRowHeight="15" x14ac:dyDescent="0.25"/>
  <cols>
    <col min="1" max="1" width="39.140625" bestFit="1" customWidth="1"/>
    <col min="2" max="2" width="91.7109375" bestFit="1" customWidth="1"/>
    <col min="3" max="3" width="14.140625" customWidth="1"/>
    <col min="4" max="4" width="15" customWidth="1"/>
    <col min="5" max="26" width="10.7109375" customWidth="1"/>
  </cols>
  <sheetData>
    <row r="1" spans="1:26" x14ac:dyDescent="0.25">
      <c r="C1" s="60">
        <v>5215987</v>
      </c>
      <c r="D1" s="60">
        <v>5215989</v>
      </c>
      <c r="E1" s="60">
        <v>5216007</v>
      </c>
      <c r="F1" s="60">
        <v>5216009</v>
      </c>
      <c r="G1" s="60">
        <v>5216011</v>
      </c>
      <c r="H1" s="60">
        <v>5216013</v>
      </c>
      <c r="I1" s="60">
        <v>5216015</v>
      </c>
      <c r="J1" s="60">
        <v>5216017</v>
      </c>
      <c r="K1" s="60">
        <v>5216019</v>
      </c>
      <c r="L1" s="60">
        <v>5216021</v>
      </c>
      <c r="M1" s="60">
        <v>5216023</v>
      </c>
      <c r="N1" s="60">
        <v>5216025</v>
      </c>
      <c r="O1" s="60">
        <v>5215991</v>
      </c>
      <c r="P1" s="60">
        <v>5216027</v>
      </c>
      <c r="Q1" s="60">
        <v>5216029</v>
      </c>
      <c r="R1" s="60">
        <v>5216031</v>
      </c>
      <c r="S1" s="60">
        <v>5216033</v>
      </c>
      <c r="T1" s="60">
        <v>5215993</v>
      </c>
      <c r="U1" s="60">
        <v>5215995</v>
      </c>
      <c r="V1" s="60">
        <v>5215997</v>
      </c>
      <c r="W1" s="60">
        <v>5215999</v>
      </c>
      <c r="X1" s="60">
        <v>5216001</v>
      </c>
      <c r="Y1" s="60">
        <v>5216003</v>
      </c>
      <c r="Z1" s="60">
        <v>5216005</v>
      </c>
    </row>
    <row r="2" spans="1:26" x14ac:dyDescent="0.25">
      <c r="A2" s="12" t="s">
        <v>8</v>
      </c>
      <c r="B2" s="12" t="s">
        <v>9</v>
      </c>
      <c r="C2" s="11" t="s">
        <v>15</v>
      </c>
      <c r="D2" s="11" t="s">
        <v>16</v>
      </c>
      <c r="E2" s="11" t="s">
        <v>17</v>
      </c>
      <c r="F2" s="11" t="s">
        <v>18</v>
      </c>
      <c r="G2" s="11" t="s">
        <v>19</v>
      </c>
      <c r="H2" s="11" t="s">
        <v>20</v>
      </c>
      <c r="I2" s="11" t="s">
        <v>21</v>
      </c>
      <c r="J2" s="11" t="s">
        <v>22</v>
      </c>
      <c r="K2" s="11" t="s">
        <v>23</v>
      </c>
      <c r="L2" s="11" t="s">
        <v>24</v>
      </c>
      <c r="M2" s="11" t="s">
        <v>25</v>
      </c>
      <c r="N2" s="11" t="s">
        <v>26</v>
      </c>
      <c r="O2" s="11" t="s">
        <v>27</v>
      </c>
      <c r="P2" s="11" t="s">
        <v>28</v>
      </c>
      <c r="Q2" s="11" t="s">
        <v>29</v>
      </c>
      <c r="R2" s="11" t="s">
        <v>30</v>
      </c>
      <c r="S2" s="11" t="s">
        <v>31</v>
      </c>
      <c r="T2" s="11" t="s">
        <v>32</v>
      </c>
      <c r="U2" s="11" t="s">
        <v>33</v>
      </c>
      <c r="V2" s="11" t="s">
        <v>34</v>
      </c>
      <c r="W2" s="11" t="s">
        <v>35</v>
      </c>
      <c r="X2" s="11" t="s">
        <v>36</v>
      </c>
      <c r="Y2" s="11" t="s">
        <v>37</v>
      </c>
      <c r="Z2" s="11" t="s">
        <v>38</v>
      </c>
    </row>
    <row r="3" spans="1:26" x14ac:dyDescent="0.25">
      <c r="A3" s="16" t="s">
        <v>45</v>
      </c>
      <c r="B3" s="26" t="s">
        <v>46</v>
      </c>
      <c r="C3" s="21">
        <f>Calculate!E5</f>
        <v>7.5499999999999998E-2</v>
      </c>
      <c r="D3" s="21">
        <f>Calculate!F5</f>
        <v>7.7899999999999997E-2</v>
      </c>
      <c r="E3" s="21">
        <f>Calculate!G5</f>
        <v>7.6700000000000004E-2</v>
      </c>
      <c r="F3" s="21">
        <f>Calculate!H5</f>
        <v>7.4700000000000003E-2</v>
      </c>
      <c r="G3" s="21">
        <f>Calculate!I5</f>
        <v>7.4800000000000005E-2</v>
      </c>
      <c r="H3" s="21">
        <f>Calculate!J5</f>
        <v>7.46E-2</v>
      </c>
      <c r="I3" s="21">
        <f>Calculate!K5</f>
        <v>7.3899999999999993E-2</v>
      </c>
      <c r="J3" s="21">
        <f>Calculate!L5</f>
        <v>7.1499999999999994E-2</v>
      </c>
      <c r="K3" s="21">
        <f>Calculate!M5</f>
        <v>7.3099999999999998E-2</v>
      </c>
      <c r="L3" s="21">
        <f>Calculate!N5</f>
        <v>7.4200000000000002E-2</v>
      </c>
      <c r="M3" s="21">
        <f>Calculate!O5</f>
        <v>7.2599999999999998E-2</v>
      </c>
      <c r="N3" s="21">
        <f>Calculate!P5</f>
        <v>7.6399999999999996E-2</v>
      </c>
      <c r="O3" s="21">
        <f>Calculate!Q5</f>
        <v>7.6600000000000001E-2</v>
      </c>
      <c r="P3" s="21">
        <f>Calculate!R5</f>
        <v>7.6200000000000004E-2</v>
      </c>
      <c r="Q3" s="21">
        <f>Calculate!S5</f>
        <v>7.46E-2</v>
      </c>
      <c r="R3" s="21">
        <f>Calculate!T5</f>
        <v>7.3200000000000001E-2</v>
      </c>
      <c r="S3" s="21">
        <f>Calculate!U5</f>
        <v>7.46E-2</v>
      </c>
      <c r="T3" s="21">
        <f>Calculate!V5</f>
        <v>7.4300000000000005E-2</v>
      </c>
      <c r="U3" s="21">
        <f>Calculate!W5</f>
        <v>7.4200000000000002E-2</v>
      </c>
      <c r="V3" s="21">
        <f>Calculate!X5</f>
        <v>7.3999999999999996E-2</v>
      </c>
      <c r="W3" s="21">
        <f>Calculate!Y5</f>
        <v>7.6700000000000004E-2</v>
      </c>
      <c r="X3" s="21">
        <f>Calculate!Z5</f>
        <v>8.0500000000000002E-2</v>
      </c>
      <c r="Y3" s="21">
        <f>Calculate!AA5</f>
        <v>7.7600000000000002E-2</v>
      </c>
      <c r="Z3" s="21">
        <f>Calculate!AB5</f>
        <v>7.4700000000000003E-2</v>
      </c>
    </row>
    <row r="4" spans="1:26" x14ac:dyDescent="0.25">
      <c r="A4" s="16"/>
      <c r="B4" s="26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</row>
    <row r="5" spans="1:26" x14ac:dyDescent="0.25">
      <c r="A5" s="16"/>
      <c r="B5" s="26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</row>
    <row r="6" spans="1:26" x14ac:dyDescent="0.25">
      <c r="A6" s="16"/>
      <c r="B6" s="26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</row>
    <row r="7" spans="1:26" x14ac:dyDescent="0.25">
      <c r="A7" s="16"/>
      <c r="B7" s="26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</row>
    <row r="8" spans="1:26" x14ac:dyDescent="0.25">
      <c r="A8" s="16"/>
      <c r="B8" s="26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</row>
    <row r="9" spans="1:26" x14ac:dyDescent="0.25">
      <c r="A9" s="16"/>
      <c r="B9" s="26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</row>
    <row r="10" spans="1:26" x14ac:dyDescent="0.25">
      <c r="A10" s="16"/>
      <c r="B10" s="26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</row>
    <row r="13" spans="1:26" x14ac:dyDescent="0.25">
      <c r="A13" s="14"/>
      <c r="B13" s="13" t="s">
        <v>10</v>
      </c>
    </row>
    <row r="14" spans="1:26" x14ac:dyDescent="0.25">
      <c r="A14" s="25"/>
      <c r="B14" s="13" t="s">
        <v>12</v>
      </c>
    </row>
    <row r="15" spans="1:26" x14ac:dyDescent="0.25">
      <c r="A15" s="17"/>
      <c r="B15" s="13" t="s">
        <v>11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Source</vt:lpstr>
      <vt:lpstr>Calculate</vt:lpstr>
      <vt:lpstr>Result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Дехтерев Антон Иванович</dc:creator>
  <cp:lastModifiedBy>_</cp:lastModifiedBy>
  <dcterms:created xsi:type="dcterms:W3CDTF">2020-09-24T07:13:51Z</dcterms:created>
  <dcterms:modified xsi:type="dcterms:W3CDTF">2026-03-06T05:40:28Z</dcterms:modified>
</cp:coreProperties>
</file>